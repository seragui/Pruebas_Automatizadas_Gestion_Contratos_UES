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GESTION_CONTRATOS_AUTOMATIZADAS\Matriz Casos de Pruebas\"/>
    </mc:Choice>
  </mc:AlternateContent>
  <xr:revisionPtr revIDLastSave="0" documentId="13_ncr:1_{1AB1BA12-CBAF-472F-82C6-9340C256959B}" xr6:coauthVersionLast="47" xr6:coauthVersionMax="47" xr10:uidLastSave="{00000000-0000-0000-0000-000000000000}"/>
  <bookViews>
    <workbookView xWindow="-120" yWindow="-120" windowWidth="29040" windowHeight="15720" firstSheet="8" activeTab="8" xr2:uid="{7D79368A-0374-452C-81A6-2A42C4EDBBCA}"/>
  </bookViews>
  <sheets>
    <sheet name="Hoja1" sheetId="1" state="hidden" r:id="rId1"/>
    <sheet name="Hoja3" sheetId="4" state="hidden" r:id="rId2"/>
    <sheet name="Hoja4" sheetId="5" state="hidden" r:id="rId3"/>
    <sheet name="Hoja6" sheetId="7" state="hidden" r:id="rId4"/>
    <sheet name="Hoja7" sheetId="8" state="hidden" r:id="rId5"/>
    <sheet name="Hoja2" sheetId="3" state="hidden" r:id="rId6"/>
    <sheet name="Hoja5" sheetId="6" state="hidden" r:id="rId7"/>
    <sheet name="Hoja8" sheetId="9" state="hidden" r:id="rId8"/>
    <sheet name="MATRIZ DE CASOS DE PRUEBA" sheetId="2" r:id="rId9"/>
    <sheet name="MATRIZ CASOS AUTOMATIZAR" sheetId="11" r:id="rId10"/>
  </sheets>
  <externalReferences>
    <externalReference r:id="rId11"/>
  </externalReferences>
  <definedNames>
    <definedName name="_xlnm._FilterDatabase" localSheetId="8" hidden="1">'MATRIZ DE CASOS DE PRUEBA'!$A$1:$R$17</definedName>
    <definedName name="_xlcn.WorksheetConnection_PruebasDefinitivas.xlsxTabla11" hidden="1">Tabla1[]</definedName>
    <definedName name="DatosExternos_1" localSheetId="1" hidden="1">Hoja3!$A$3:$S$21</definedName>
    <definedName name="DatosExternos_1" localSheetId="2" hidden="1">Hoja4!$A$3:$S$21</definedName>
    <definedName name="DatosExternos_1" localSheetId="4" hidden="1">Hoja7!$A$3:$S$7</definedName>
    <definedName name="MATRIZ_PRUEBAS" localSheetId="9">[1]!Tabla1[#Data]</definedName>
    <definedName name="MATRIZ_PRUEBAS">Tabla1[]</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Pruebas Definitivas.xlsx!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1" l="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5" i="11"/>
  <c r="H12" i="9"/>
  <c r="D16" i="9"/>
  <c r="D15" i="9"/>
  <c r="D14" i="9"/>
  <c r="D1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AB5EF7-E161-46EA-A699-D9F059EE0831}" keepAlive="1" name="ModelConnection_DatosExternos_1" description="Modelo de datos" type="5" refreshedVersion="8" minRefreshableVersion="5" saveData="1">
    <dbPr connection="Data Model Connection" command="DRILLTHROUGH MAXROWS 1000 SELECT FROM [Model] WHERE (([Measures].[Recuento de ID_CASO],[Tabla1].[Estado].&amp;[Fallida])) RETURN [$Tabla1].[ID_CASO],[$Tabla1].[MODULO],[$Tabla1].[Nombre del Caso de Prueba],[$Tabla1].[Tipo de Prueba],[$Tabla1].[Descripción],[$Tabla1].[Pasos],[$Tabla1].[Precondiciones],[$Tabla1].[Datos de entrada],[$Tabla1].[Resultado Esperado],[$Tabla1].[Nivel de Prioridad],[$Tabla1].[Estado],[$Tabla1].[Evidencias],[$Tabla1].[Fecha Inicio Prueba],[$Tabla1].[Fecha Finalización Prueba],[$Tabla1].[Duración de Prueba (minutos)],[$Tabla1].[Tester],[$Tabla1].[Automatizable],[$Tabla1].[Automatizacion Terminada],[$Tabla1].[Puntuacion MosCoW]" commandType="4"/>
    <extLst>
      <ext xmlns:x15="http://schemas.microsoft.com/office/spreadsheetml/2010/11/main" uri="{DE250136-89BD-433C-8126-D09CA5730AF9}">
        <x15:connection id="" model="1"/>
      </ext>
    </extLst>
  </connection>
  <connection id="2" xr16:uid="{B92F2E63-F205-4E90-BF6C-5F9B7F411941}" keepAlive="1" name="ModelConnection_DatosExternos_11" description="Modelo de datos" type="5" refreshedVersion="8" minRefreshableVersion="5" saveData="1">
    <dbPr connection="Data Model Connection" command="DRILLTHROUGH MAXROWS 1000 SELECT FROM [Model] WHERE (([Measures].[Recuento de ID_CASO],[Tabla1].[Estado].&amp;[Fallida])) RETURN [$Tabla1].[ID_CASO],[$Tabla1].[MODULO],[$Tabla1].[Nombre del Caso de Prueba],[$Tabla1].[Tipo de Prueba],[$Tabla1].[Descripción],[$Tabla1].[Pasos],[$Tabla1].[Precondiciones],[$Tabla1].[Datos de entrada],[$Tabla1].[Resultado Esperado],[$Tabla1].[Nivel de Prioridad],[$Tabla1].[Estado],[$Tabla1].[Evidencias],[$Tabla1].[Fecha Inicio Prueba],[$Tabla1].[Fecha Finalización Prueba],[$Tabla1].[Duración de Prueba (minutos)],[$Tabla1].[Tester],[$Tabla1].[Automatizable],[$Tabla1].[Automatizacion Terminada],[$Tabla1].[Puntuacion MosCoW]" commandType="4"/>
    <extLst>
      <ext xmlns:x15="http://schemas.microsoft.com/office/spreadsheetml/2010/11/main" uri="{DE250136-89BD-433C-8126-D09CA5730AF9}">
        <x15:connection id="" model="1"/>
      </ext>
    </extLst>
  </connection>
  <connection id="3" xr16:uid="{6F48D01B-CB9D-445E-A694-5401990123B1}" keepAlive="1" name="ModelConnection_DatosExternos_12" description="Modelo de datos" type="5" refreshedVersion="8" minRefreshableVersion="5" saveData="1">
    <dbPr connection="Data Model Connection" command="DRILLTHROUGH MAXROWS 1000 SELECT FROM [Model] WHERE (([Measures].[Recuento de ID_CASO],[Tabla1].[Estado].&amp;[Bloqueo])) RETURN [$Tabla1].[ID_CASO],[$Tabla1].[MODULO],[$Tabla1].[Nombre del Caso de Prueba],[$Tabla1].[Tipo de Prueba],[$Tabla1].[Descripción],[$Tabla1].[Pasos],[$Tabla1].[Precondiciones],[$Tabla1].[Datos de entrada],[$Tabla1].[Resultado Esperado],[$Tabla1].[Nivel de Prioridad],[$Tabla1].[Estado],[$Tabla1].[Evidencias],[$Tabla1].[Fecha Inicio Prueba],[$Tabla1].[Fecha Finalización Prueba],[$Tabla1].[Duración de Prueba (minutos)],[$Tabla1].[Tester],[$Tabla1].[Automatizable],[$Tabla1].[Automatizacion Terminada],[$Tabla1].[Puntuacion MosCoW]" commandType="4"/>
    <extLst>
      <ext xmlns:x15="http://schemas.microsoft.com/office/spreadsheetml/2010/11/main" uri="{DE250136-89BD-433C-8126-D09CA5730AF9}">
        <x15:connection id="" model="1"/>
      </ext>
    </extLst>
  </connection>
  <connection id="4" xr16:uid="{C11583A8-7582-4188-894F-0C7E17BE7A49}"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3739999-50B3-4AF8-8A0F-73E43DA9D0FC}" name="WorksheetConnection_Pruebas Definitivas.xlsx!Tabla1" type="102" refreshedVersion="8" minRefreshableVersion="5">
    <extLst>
      <ext xmlns:x15="http://schemas.microsoft.com/office/spreadsheetml/2010/11/main" uri="{DE250136-89BD-433C-8126-D09CA5730AF9}">
        <x15:connection id="Tabla1" autoDelete="1">
          <x15:rangePr sourceName="_xlcn.WorksheetConnection_PruebasDefinitivas.xlsxTabla11"/>
        </x15:connection>
      </ext>
    </extLst>
  </connection>
</connections>
</file>

<file path=xl/sharedStrings.xml><?xml version="1.0" encoding="utf-8"?>
<sst xmlns="http://schemas.openxmlformats.org/spreadsheetml/2006/main" count="3564" uniqueCount="970">
  <si>
    <t>ID_CASO</t>
  </si>
  <si>
    <t>MODULO</t>
  </si>
  <si>
    <t>Nombre del Caso de Prueba</t>
  </si>
  <si>
    <t>Tipo de Prueba</t>
  </si>
  <si>
    <t>Descripción</t>
  </si>
  <si>
    <t>Pasos</t>
  </si>
  <si>
    <t>Precondiciones</t>
  </si>
  <si>
    <t>Datos de entrada</t>
  </si>
  <si>
    <t>Resultado Esperado</t>
  </si>
  <si>
    <t>Nivel de Prioridad</t>
  </si>
  <si>
    <t>Estado</t>
  </si>
  <si>
    <t>Evidencias</t>
  </si>
  <si>
    <t>Fecha Inicio Prueba</t>
  </si>
  <si>
    <t>Fecha Finalización Prueba</t>
  </si>
  <si>
    <t>Duración de Prueba (minutos)</t>
  </si>
  <si>
    <t>Tester</t>
  </si>
  <si>
    <t>Automatizable</t>
  </si>
  <si>
    <t>Automatizacion Terminada</t>
  </si>
  <si>
    <t>CP_01</t>
  </si>
  <si>
    <t>USUARIOS</t>
  </si>
  <si>
    <t>Iniciar sesión</t>
  </si>
  <si>
    <t>Funcional</t>
  </si>
  <si>
    <t xml:space="preserve">Usuario ingresa en el sistema con su correo electrónico y contraseña correctos. 
Se valida que para los casos que el correo electrónico es incorrecto o con contraseña incorrecta, datos vacíos o usuario inexistente, no permite iniciar sesión ni ingresar a rutas protegidas.
</t>
  </si>
  <si>
    <r>
      <rPr>
        <b/>
        <sz val="12"/>
        <color theme="1"/>
        <rFont val="Arial"/>
        <family val="2"/>
      </rPr>
      <t>Camino exitoso:</t>
    </r>
    <r>
      <rPr>
        <sz val="12"/>
        <color theme="1"/>
        <rFont val="Arial"/>
        <family val="2"/>
      </rPr>
      <t xml:space="preserve">
1. Ingresar a la ruta de inicio de sesión para usuarios.
2. Identificar y obtener la información de un usuario activo.
3. Ingresar los datos correos de correo electrónico y contraseña e iniciar sesión.
4. Verificar que el resultado sea exitoso y se obtiene un token de inicio de sesión.
5. Verificar el acceso a las rutas que posea el rol de usuario.
Caminos Fallidos:
</t>
    </r>
    <r>
      <rPr>
        <b/>
        <sz val="12"/>
        <color theme="1"/>
        <rFont val="Arial"/>
        <family val="2"/>
      </rPr>
      <t>Datos vacíos:</t>
    </r>
    <r>
      <rPr>
        <sz val="12"/>
        <color theme="1"/>
        <rFont val="Arial"/>
        <family val="2"/>
      </rPr>
      <t xml:space="preserve">
1. Ingresar a la ruta de inicio de sesión para usuarios.
2. Dejar los datos vacíos de contraseña y correo electrónico.
3. Verificar que no permite el ingreso y muestra un mensaje de completitud de datos.
</t>
    </r>
    <r>
      <rPr>
        <b/>
        <sz val="12"/>
        <color theme="1"/>
        <rFont val="Arial"/>
        <family val="2"/>
      </rPr>
      <t>Datos incorrectos:</t>
    </r>
    <r>
      <rPr>
        <sz val="12"/>
        <color theme="1"/>
        <rFont val="Arial"/>
        <family val="2"/>
      </rPr>
      <t xml:space="preserve">
1. Ingresar a la ruta de inicio de sesión para usuarios.
2.Ingresar un correo electrónico válido y contraseña incorrecta del usuario.
3. Verificar que no permite el ingreso y muestra un mensaje genérico de error para ambos casos.
</t>
    </r>
    <r>
      <rPr>
        <b/>
        <sz val="12"/>
        <color theme="1"/>
        <rFont val="Arial"/>
        <family val="2"/>
      </rPr>
      <t>Usuario inexistente:</t>
    </r>
    <r>
      <rPr>
        <sz val="12"/>
        <color theme="1"/>
        <rFont val="Arial"/>
        <family val="2"/>
      </rPr>
      <t xml:space="preserve">
1.Ingresar a la ruta de inicio de sesión para usuarios.
2. Los campos de correo electrónico y contraseña se dejan vacío.
3. Verificar que no permite el ingreso y muestra un mensaje genérico de error, no debe mostrarse "usuario no existe".</t>
    </r>
  </si>
  <si>
    <t>Usuario existente y válido del sistema.</t>
  </si>
  <si>
    <t>1. Correo electrónico: sa16007@ues.edu.sv
2. Contraseña: password1234</t>
  </si>
  <si>
    <t>Casos exitosos: Se espera que se logre ingresar de forma exitosa en el sistema y se responde con código 200 OK, se obtiene token de autenticación.
Casos fallidos: Se espera que responda con un código 401 Unauthorized no se retorna ninguna información. No se envían correos ni se crean sesiones. No permite el ingreso a ninguna ruta protegida. El mensaje de error se mantiene genérico.</t>
  </si>
  <si>
    <t>Alta</t>
  </si>
  <si>
    <t>Exitosa</t>
  </si>
  <si>
    <t>RONALD</t>
  </si>
  <si>
    <t>Si</t>
  </si>
  <si>
    <t>SI</t>
  </si>
  <si>
    <t>CP_02</t>
  </si>
  <si>
    <t>Logout invalida sesión</t>
  </si>
  <si>
    <t>Usuario ejecuta cierre de sesión y no permite el acceso a rutas privadas tras salir; las cookies y tokens son inválidos.</t>
  </si>
  <si>
    <t>1. Dirigirse a la ruta de inicio de sesión para usuarios.
2. Ingresar datos de usuario existente y correctos e iniciar sesión.
3. Validar ingreso a rutas protegidas.
4. Cerrar sesión.
5. Validar que las cookies y tokens se invalidan y no se posee accesos a rutas protegidas.</t>
  </si>
  <si>
    <t>Se espera que las cookies y tokens al realizar cierre de sesión se invaliden y no permita ingresar a rutas protegidas.</t>
  </si>
  <si>
    <t>CP_03</t>
  </si>
  <si>
    <t>Creación de usuario</t>
  </si>
  <si>
    <t>Se crea registros nuevo usuario en el sistema, los unicos roles que pueden realizar creaciones de usuario son Administrador y Super Administrador. Al crear un nuevo usuario se envía correo electrónico al usuario con contraseña temporal.
No se permite la creación de usuarios con datos incorrectos o vacíos, o con correo electrónico ya asociado a un usuario.</t>
  </si>
  <si>
    <r>
      <rPr>
        <b/>
        <sz val="12"/>
        <color theme="1"/>
        <rFont val="Arial"/>
        <family val="2"/>
      </rPr>
      <t>Camino exitoso</t>
    </r>
    <r>
      <rPr>
        <sz val="12"/>
        <color theme="1"/>
        <rFont val="Arial"/>
        <family val="2"/>
      </rPr>
      <t xml:space="preserve">:
1. Dirigirse a ruta de creación de usuario.
2. Ingresar la información para la creación de usuarios (correo electrónico, nombre, rol, escuela (para los candidatos)).
3. Se registra usuario en base de datos, se encripta la contraseña y se envia por correo electrónico al usuario con el detalle.
4. Verificar que el usuario pueda ingresar al sistema.
Caminos fallidos:
</t>
    </r>
    <r>
      <rPr>
        <b/>
        <sz val="12"/>
        <color theme="1"/>
        <rFont val="Arial"/>
        <family val="2"/>
      </rPr>
      <t>Datos inválidos</t>
    </r>
    <r>
      <rPr>
        <sz val="12"/>
        <color theme="1"/>
        <rFont val="Arial"/>
        <family val="2"/>
      </rPr>
      <t xml:space="preserve">:
1. Dirigirse a ruta de creación de usuario.
2. Ingresar información de correo electrónico, nombre, o algunos de los campos de forma erronea.
3. Verificar que no permite la creación de registro de usuario y no se ingresa a BD.
</t>
    </r>
    <r>
      <rPr>
        <b/>
        <sz val="12"/>
        <color theme="1"/>
        <rFont val="Arial"/>
        <family val="2"/>
      </rPr>
      <t>Datos vacíos</t>
    </r>
    <r>
      <rPr>
        <sz val="12"/>
        <color theme="1"/>
        <rFont val="Arial"/>
        <family val="2"/>
      </rPr>
      <t>:
1. Dirigirse a ruta de creación de usuario.
2. No ingresar datos para la creación de usuario.
3. Verificar que no permite la creación de registro de usuario y no se ingresa a BD.</t>
    </r>
  </si>
  <si>
    <t>Correo electrónico válido.</t>
  </si>
  <si>
    <t>1. Correo electrónico: sabrina_carpintero@ues.edu.sv
2. Nombre: Sabrina Carpintero.
3. Rol: Candidato.
4. Escuela: Sistemas Informáticos.</t>
  </si>
  <si>
    <t>Se espera que el sistema responda con código 401 CREATED, no se muestra información sensible, el usaurio es creado y se envia correo de notificación con contraseña.</t>
  </si>
  <si>
    <t>Fallida</t>
  </si>
  <si>
    <t>CP_04</t>
  </si>
  <si>
    <t>Actualizar Usuario</t>
  </si>
  <si>
    <t xml:space="preserve">Se actualiza información de usuario (cambio de contraseña, actualización de nombre de usuario, cambio de correo electrónico asociado, cambio de rol asociado a usuario o cambio de escuela) debe de permitir realizar la modificación y se actualiza en BD.
En casos donde se envien datos incorrectos o vacíos no debe permitir la actualización del registro y no existe cambios al registro en BD. </t>
  </si>
  <si>
    <r>
      <rPr>
        <b/>
        <sz val="12"/>
        <color theme="1"/>
        <rFont val="Arial"/>
        <family val="2"/>
      </rPr>
      <t>Camino exitoso</t>
    </r>
    <r>
      <rPr>
        <sz val="12"/>
        <color theme="1"/>
        <rFont val="Arial"/>
        <family val="2"/>
      </rPr>
      <t xml:space="preserve">:
1. Identificar un usuario existente al cual se le realizará la actualización de información.
2. Dirigirse a la ruta de actualización de información de usuarios.
3. Identificar al usuario al que se realizará actualización de información.
4. Actualizar el nombre cualquiera de los campos disponibles para actualización (nombre, correo electrónico o escuela en caso de que aplique).
5. Verificar el cambio realizado en el detalle del usuario y en registro en BD.
6. Actualizar la contraseña del usuario.
7. Verificar que se envía correo electrónico al usuario con la contraseña temporal creada.
</t>
    </r>
    <r>
      <rPr>
        <b/>
        <sz val="12"/>
        <color theme="1"/>
        <rFont val="Arial"/>
        <family val="2"/>
      </rPr>
      <t>Casos fallidos</t>
    </r>
    <r>
      <rPr>
        <sz val="12"/>
        <color theme="1"/>
        <rFont val="Arial"/>
        <family val="2"/>
      </rPr>
      <t>:
1. Identificar un usuario existente al cual se le realizará la actualización de información.
2. Dirigirse a la ruta de actualización de información de usuarios.
3. Ingresar información con datos vacíos, con datos incorrectos o con correo electrónico que se encuentre ya en uso.
4. Deberá de mostrar mensaje de error y no permitirá actualizar la información del usuario. no tiene efectos sobre la BD.</t>
    </r>
  </si>
  <si>
    <r>
      <t xml:space="preserve">Usuario:
correo electrónico:ariana_gonzalez@ues.edu.sv
Cambios a efectuar.
Correctos:
</t>
    </r>
    <r>
      <rPr>
        <b/>
        <sz val="12"/>
        <color theme="1"/>
        <rFont val="Arial"/>
        <family val="2"/>
      </rPr>
      <t>Nombr</t>
    </r>
    <r>
      <rPr>
        <sz val="12"/>
        <color theme="1"/>
        <rFont val="Arial"/>
        <family val="2"/>
      </rPr>
      <t xml:space="preserve">e: Katherine Ariana Gonzalez Ramírez -&gt; Katherine Ariana Gonzalez de Padilla.
</t>
    </r>
    <r>
      <rPr>
        <b/>
        <sz val="12"/>
        <color theme="1"/>
        <rFont val="Arial"/>
        <family val="2"/>
      </rPr>
      <t>Correo electrónico</t>
    </r>
    <r>
      <rPr>
        <sz val="12"/>
        <color theme="1"/>
        <rFont val="Arial"/>
        <family val="2"/>
      </rPr>
      <t xml:space="preserve">: ariana_gonzalez@ues.edu.sv -&gt; ariana_d_padilla@ues.edu.sv.
</t>
    </r>
  </si>
  <si>
    <t>Parar el caso exitoso se espera que retorne un código 200 OK, el registro de usuario se actualiza y queda registrado con la nueva información en BD. 
Para el caso donde se actualiza la contraseña.se actualiza en BD, y se envía correo notificando la nueva contraseña temporal.
En los casos fallidos debe de mostrar código 422 Unprocessable Entity y habrá ningún cambio al registro, no hay cambios a nivel BD.</t>
  </si>
  <si>
    <t>CP_05</t>
  </si>
  <si>
    <t>Listar Usuarios</t>
  </si>
  <si>
    <t>Confirmar que cuando se necesite listar los usuarios ingresados en la base devuelve los registros con los campos públicos, y la paginación funciona de manera consistente.
Unicamente los roles de Administrador pueden tener acceso a esta función</t>
  </si>
  <si>
    <r>
      <rPr>
        <b/>
        <sz val="12"/>
        <color theme="1"/>
        <rFont val="Arial"/>
        <family val="2"/>
      </rPr>
      <t>Camino exitoso</t>
    </r>
    <r>
      <rPr>
        <sz val="12"/>
        <color theme="1"/>
        <rFont val="Arial"/>
        <family val="2"/>
      </rPr>
      <t xml:space="preserve">:
1. En la base existen usuarios registrados.
2. Autenticarse como administrador y obtener un token.
3. Ejecutar la obtención de los usuarios registrados en la base de datos.
4. Verificar la respuesta obtenida y el arreglo de usuarios con paginación.
5. Buscar un usuario especifico dentro de la obtención de los usuarios.
6. Confirmar que no se muestran datos sensibles expuestos.
</t>
    </r>
    <r>
      <rPr>
        <b/>
        <sz val="12"/>
        <color theme="1"/>
        <rFont val="Arial"/>
        <family val="2"/>
      </rPr>
      <t>Camino fallido</t>
    </r>
    <r>
      <rPr>
        <sz val="12"/>
        <color theme="1"/>
        <rFont val="Arial"/>
        <family val="2"/>
      </rPr>
      <t>:
1. Autenticarse como candidato y obtener un token.
2. Ejecutar la obtención de los usuarios registrados.
3. Verificar que el sistema no permite ingresar a esta ruta protegida debido a falta de permisos.</t>
    </r>
  </si>
  <si>
    <t>Usuarios existentes en la base de datos.</t>
  </si>
  <si>
    <t>Busqueda: Ariana.
Page?2</t>
  </si>
  <si>
    <t>Camino exitoso: se espera que responda con un código 200 OK, se envia arreglo de usuarios con información no sensible, paginación consistente. La búsqueda por usuario retorna unicamente las coincidencias encontradas.
Camino fallido: se espera que responda con código 403 Forbidden con mensaje de falta de permisos, no se devuelve el arreglo  ni meta de paginación</t>
  </si>
  <si>
    <t>Media</t>
  </si>
  <si>
    <t>CP_06</t>
  </si>
  <si>
    <t>Hash y verificación de contraseña</t>
  </si>
  <si>
    <t>Seguridad</t>
  </si>
  <si>
    <t>Comprobar que la contraseña no se guarda en texto claro, que al generarse el hash usa salt y que la función de verificación diferencia correctamente entre la clave correcta e incorrecta. También validar que el hash sea irreversible</t>
  </si>
  <si>
    <t>1. Generar hash #1 a partir de plain='Fia#2025!'.
2. Comprobar que la función de chequeo acepta Fia#2025! contra el hash #1.
3. Comprobar que rechaza una contraseña distinta contra el hash #1.
4. Generar hash #2 de la misma contraseña Fia#2025! y confirmar que hash #2 ≠ hash #1
5. Confirmar que el hash no es igual al texto plano ni contiene la contraseña como substring.
6 Cambiar un caracter del hash #1 y validar que la verificación falla.</t>
  </si>
  <si>
    <t>N/A</t>
  </si>
  <si>
    <t>plain='Fia#2025!'</t>
  </si>
  <si>
    <t>Se genera un hash con salt
La verificación devuelve true con la contraseña correcta y false con una distinta o con el hash modificado.
Nunca se muestra el texto plano</t>
  </si>
  <si>
    <t>NO</t>
  </si>
  <si>
    <t>CP_07</t>
  </si>
  <si>
    <t>Validación de roles y permisos</t>
  </si>
  <si>
    <t>Validación</t>
  </si>
  <si>
    <t>Confirmar que cada rol en el sistema pueda ejecutar únicamente las acciones que tiene asignadas, sin permitir accesos adicionales o restricciones incorrectas.</t>
  </si>
  <si>
    <t xml:space="preserve">1. Crear un usuario con un rol de Candidato.
2. Verificar que el usuario logueado creado con rol de candidato no tenga acceso a las rutas protegidas de otro rol (Ejemplo: Director).
3. Crear un usuario con rol de Recursos Humanos.
4. Verificar que el usuario logueado con rol de RRHH no tenga acceso a las rutas protegidas de otro rol.
5. Crear un usuario con rol de Director.
6. Verificar que el usuario logueado con rol de Director tenga sus acceso normales asignados a las rutas establecidas.
</t>
  </si>
  <si>
    <t>Roles y permisos establecidos</t>
  </si>
  <si>
    <t>Creación de usuario Candidato.
Creación de usuario RRHH.
Creación de usuario Director.</t>
  </si>
  <si>
    <t>Un usuario con su rol respectivo solo tiene permitido realizar acciones definididas.
Acciones fuera del alcance del rol deben ser rechazadas.</t>
  </si>
  <si>
    <t>CP_08</t>
  </si>
  <si>
    <t xml:space="preserve">Generación y validación de JWT/refresh token </t>
  </si>
  <si>
    <t>Comprobar que el token de acceso se emite con los datos minimos (sub, iat, exp) que se valida correctamente (firma y vigencia) y que el refresh se entrega en cada uso y el refresh anterior queda anulado.Ademas un refresh reutilizado genera error.</t>
  </si>
  <si>
    <t>1. Emitir token de acceso (JWT) con el payload indicado y un tiempo de vida corto y guardar el token.
2. Validar tokenA recién emitido: la verificación debe aceptar firma y campos
3. Cambiar 1 carácter de tokenA y volver a validar esperando devuelva error.
4. Simular expiración y debe devolver error.
5. Generar un token (T1) volver a generar uno nuevo (T2).
6. Utilizar el T1 el cual debe devolver error al ser un token revocado.
7. Validar que el T2 es correcto y nos permite ingresar a la ruta que se tiene permiso.
8. Validar que el token vence de forma automática.</t>
  </si>
  <si>
    <t>Llave y firma configurada.
Tiempos de vida definidos.
Almacen para el refresh de tokens.</t>
  </si>
  <si>
    <t>Obtención de token para usuario con contraseña y correo electrónico.</t>
  </si>
  <si>
    <t>El JWT trae sub, iat, exp y verifica correctamente mientras esté vigente. Un token modificado o vencido proporcionar error ya no es válido. No se exponen secretos ni contraseñas en logs o respuestas.</t>
  </si>
  <si>
    <t>Bloqueo</t>
  </si>
  <si>
    <t>CP_09</t>
  </si>
  <si>
    <t>Generación de contraseña autogenerada al crear usuario</t>
  </si>
  <si>
    <t>Al crear un usuario el sistema crea una contraseña temporal que cumple la política, la hashea y fija una fecha de expiración corta para obligar el cambio en el primer ingreso.</t>
  </si>
  <si>
    <t>1. Crear código con código con opción "autogenerar contraseña".
2. Comprobar que la contraseña no se guarda en claro.
3. Verificar que la contraseña cumple con las politicas de longitud y mezcla de tipos.
4. Confirmar que password_expiration queda definida y 5 días para vencer.</t>
  </si>
  <si>
    <t>Name: Ronald Sermeño
email: rasa0821@hotmail.com
role: candidate</t>
  </si>
  <si>
    <t>Hash presente, nunca texto plano la contraseña; política superada; password_expiration seteada para forzar el cambio inicial.</t>
  </si>
  <si>
    <t>CP_10</t>
  </si>
  <si>
    <t>Contraseñas no expuestas</t>
  </si>
  <si>
    <t>Comprobar que las contraseñas de los usuarios no se guardan ni aparecen en texto visible dentro del sistema. Es decir, que siempre estén protegidas y nunca se muestren en listados, reportes o mensajes.</t>
  </si>
  <si>
    <t>1. Verificar en la base de datos como se registran las contraseñas.
2. Revisar si en las respuestas del sistema aparece alguna contraseña visible.
3. Cambiar contraseña y confirmar que tampoco se muestra en claro el cambio de contraseña.</t>
  </si>
  <si>
    <t>Acceso a usuario registrado</t>
  </si>
  <si>
    <t>En la base datos las contraseñas deben de mostrarse de forma ilegible (cifradas o protegidas). El sistema solo debe aceptar la contraseña para validar el acceso, pero nunca mostrarla. No se muestra visibles las contraseñas en el sistema.</t>
  </si>
  <si>
    <t>CP_11</t>
  </si>
  <si>
    <t>Flujo Completo de Gestión de Usuarios</t>
  </si>
  <si>
    <t>API</t>
  </si>
  <si>
    <t>Se validan en un solo caso las principales operaciones de la API de usuarios. Se deberán agrupar las acciones más importantes (crear, actualizar, iniciar sesión, listar) en un único flujo, para verificar que todas respondan de manera correcta y consistente.</t>
  </si>
  <si>
    <t>1. Probar la creación de un usuario nuevo.
2. Intentar crear un usuario con correo ya existente.
3. Actualizar la información de un usuario existente.
4. Iniciar sesión con credenciales correctas.
5. Inicar sesión con credenciales incorrectas.
6. Listar los usuarios registrados.
7. Búsqueda de usuario con nombre de usuario registrado.</t>
  </si>
  <si>
    <t>Token de administrador para poder crear usuarios.</t>
  </si>
  <si>
    <t>A) Crear usuario válido.
B) Crear usuario con correo duplicado.
C) Actualizar usuario existente.
D) Login válido.
E) Login inválido.
F) Listado de usuarios.</t>
  </si>
  <si>
    <t>Creación exitosa cuando los datos son válidos.
Rechazo con error claro cuando se ingresa un correo electrónico ya ingresado.
Actualización realizada de manera correcta.
Login exitoso con credenciales válidas.
Rechazo con login inválido.
Listado de usuario accesible sin mostrar información sensible.</t>
  </si>
  <si>
    <t>CP_12</t>
  </si>
  <si>
    <t>CANDIDATO</t>
  </si>
  <si>
    <t>Creación registro de persona</t>
  </si>
  <si>
    <t>Validar creación de datos de personas permita registrar correctamente una nueva persona cuando se envía su información correcta y completa. Se deberá de rechazar cuando existencia ausencia de datos o datos incorrectos.</t>
  </si>
  <si>
    <r>
      <rPr>
        <b/>
        <sz val="12"/>
        <color rgb="FF000000"/>
        <rFont val="Arial"/>
        <family val="2"/>
      </rPr>
      <t>Camino Exitoso</t>
    </r>
    <r>
      <rPr>
        <sz val="12"/>
        <color rgb="FF000000"/>
        <rFont val="Arial"/>
        <family val="2"/>
      </rPr>
      <t xml:space="preserve">:
1. Autenticarse en el sistema como candidato.
2. Ejecutar solicitud de creación de datos de personas con todos los datos completos y correctos.
3. Verificar que la respuesta obtenida el registro es creado de forma correcta y aparezca en BD.
4. Validar la información de persona relacionado al usuario candidato.
</t>
    </r>
    <r>
      <rPr>
        <b/>
        <sz val="12"/>
        <color rgb="FF000000"/>
        <rFont val="Arial"/>
        <family val="2"/>
      </rPr>
      <t>Camino fallido</t>
    </r>
    <r>
      <rPr>
        <sz val="12"/>
        <color rgb="FF000000"/>
        <rFont val="Arial"/>
        <family val="2"/>
      </rPr>
      <t xml:space="preserve">:
</t>
    </r>
    <r>
      <rPr>
        <b/>
        <sz val="12"/>
        <color rgb="FF000000"/>
        <rFont val="Arial"/>
        <family val="2"/>
      </rPr>
      <t>Usuario sin permisos</t>
    </r>
    <r>
      <rPr>
        <sz val="12"/>
        <color rgb="FF000000"/>
        <rFont val="Arial"/>
        <family val="2"/>
      </rPr>
      <t xml:space="preserve">:
1. Autenticarse en el sistema como usuario Analista Financiero.
2. Intentar ingresar la información de un candidato.
3. Debe mostrar mensaje de error por falta de permisos y no se realiza ningún ingreso en la BD.
</t>
    </r>
    <r>
      <rPr>
        <b/>
        <sz val="12"/>
        <color rgb="FF000000"/>
        <rFont val="Arial"/>
        <family val="2"/>
      </rPr>
      <t>Datos faltantes o incorrectos</t>
    </r>
    <r>
      <rPr>
        <sz val="12"/>
        <color rgb="FF000000"/>
        <rFont val="Arial"/>
        <family val="2"/>
      </rPr>
      <t>:
1. Autenticarse como usuario candidato.
2. Ingresar la información con datos erroneos o dejando campos vacíos.
3. Se mostrará un mensaje de error por datos incorrectos o datos vacíos, no se registra en BD.</t>
    </r>
  </si>
  <si>
    <t xml:space="preserve">Usuario con permisos (administrador).
Existencia del catálogo distrito_id exista en la base de datos.
</t>
  </si>
  <si>
    <t>Escenario válido:
"first_name": "Ana Sofía",
"last_name": "López Hernández",
"birth_date": "1998-05-12",
"gender": "F",
"marital_status": "Soltera",
"dui": "01234567-8",
"phone": "7777-8888",
"email": "ana.lopez@correo.com",
"address": "Av. Central 123",
"distrito_id": 15
Escenario inválido:
"first_name": "Ana Sofía",
"last_name": "",
"birth_date": "05",
"gender": "F",
"marital_status": "Soltera",
"dui": "01234567-8",
"phone": "7777-8888",
"email": "ana.lopez@correo.com",
"address": "Av. Central 123",
"distrito_id": 15</t>
  </si>
  <si>
    <t>Caso exitoso: Se espera que responda con un çodigo 201-Created y sin exponer datos sensibles, los datos se guardan de forma correcta y son accesibles via consulta. Adicional en la bitacora de auditoria queda registrada la acción de creación.
Caso fallido: para los roles sin permisos en ingreso de datos de persona responde con un código 403-Forbidden con el mensaje "No está autorizado a realizar esta acción", el registro no se crea.
Cuando exista datos incorrectos o faltantes deberá de responder con un mensaje y código 422 Unprocessable Entity.</t>
  </si>
  <si>
    <t>JOSE</t>
  </si>
  <si>
    <t>CP_13</t>
  </si>
  <si>
    <t>Actualización de datos de persona</t>
  </si>
  <si>
    <t>Validar que la actualización de los datos de persona asociados a un candidato se realiza de forma correcta. Para los casos en donde un usuario sin permisos o si los datos son inconsistentes o vacíos no deberá permitir la actualización y no sufrirá cambios en BD.</t>
  </si>
  <si>
    <r>
      <rPr>
        <b/>
        <sz val="12"/>
        <color rgb="FF000000"/>
        <rFont val="Arial"/>
        <family val="2"/>
      </rPr>
      <t>Camino exitoso</t>
    </r>
    <r>
      <rPr>
        <sz val="12"/>
        <color rgb="FF000000"/>
        <rFont val="Arial"/>
        <family val="2"/>
      </rPr>
      <t xml:space="preserve">:
1. Autenticarse en el sistema como candidato y que la información de persona se encuentra registrado.
2. Ingresar la información a actualizar de forma correcta y completa.
3. Validar que la actualización de los datos de personas se ha relizado de forma correcta, y se visualiza el cambio a nivel de BD.
</t>
    </r>
    <r>
      <rPr>
        <b/>
        <sz val="12"/>
        <color rgb="FF000000"/>
        <rFont val="Arial"/>
        <family val="2"/>
      </rPr>
      <t>Camino Fallido</t>
    </r>
    <r>
      <rPr>
        <sz val="12"/>
        <color rgb="FF000000"/>
        <rFont val="Arial"/>
        <family val="2"/>
      </rPr>
      <t xml:space="preserve">.
</t>
    </r>
    <r>
      <rPr>
        <b/>
        <sz val="12"/>
        <color rgb="FF000000"/>
        <rFont val="Arial"/>
        <family val="2"/>
      </rPr>
      <t>Sin permisos para actualizar</t>
    </r>
    <r>
      <rPr>
        <sz val="12"/>
        <color rgb="FF000000"/>
        <rFont val="Arial"/>
        <family val="2"/>
      </rPr>
      <t xml:space="preserve">:
1. Autenticarse en el sistema con rol diferente a candidato, o actualizar de otro candidato distinto al que se ha autenticado.
2. Ingresar la información a actualizar de forma correcta y completa, enviar solicitud.
3. El sistema deberá de negar la solicitud de actualización de datos de persona y no el registro no tendrá ningún cambio a nivel de BD.
</t>
    </r>
    <r>
      <rPr>
        <b/>
        <sz val="12"/>
        <color rgb="FF000000"/>
        <rFont val="Arial"/>
        <family val="2"/>
      </rPr>
      <t>Con datos incorrecto o vacíos</t>
    </r>
    <r>
      <rPr>
        <sz val="12"/>
        <color rgb="FF000000"/>
        <rFont val="Arial"/>
        <family val="2"/>
      </rPr>
      <t>:
1. Autenticarse en el sistema como candidato y que la información de persona se encuentra registrado.
2. Ingresar la información a actualizar con datos incorrectos o datos vacíos.
3. Validar que no permite la actualización de la información mostrando un mensaje y el registro no tendrá ningún cambio a nivel de BD.</t>
    </r>
  </si>
  <si>
    <t xml:space="preserve">Usuario candidato exitente y con información de persona registrada.
</t>
  </si>
  <si>
    <t>"phone": "7000-5555",
"address": "Calle Reforma #45"</t>
  </si>
  <si>
    <t>Caso exitoso: se espera que responda con un código 200 OK, se deberán retornar los valores actualizados y los datos no modificados persisten.
Caso fallido: se espera que responda con un código 422 Unprocessable Entity, detallando los campos que se encuentran incorrecto o vacíos.
Para los casos de usuario sin permisos se deberá de mostrar un código de 403 Forbidden debido a la falta de permisos para realizar esta acción, para ambos casos no existe afectación en BD y los datos presentan persistencia.</t>
  </si>
  <si>
    <t>CP_14</t>
  </si>
  <si>
    <t>Listar y buscar candidatos por nombre</t>
  </si>
  <si>
    <t>Listar candidatos y buscarlos por nombre con coincidencia parcial y sin distinción de mayúsculas/minúsculas.</t>
  </si>
  <si>
    <t>1. Autenticarse y obtener token con usaurio que tenga permisos para ver candidatos.
2. Ejecutar solicitud para ver usuarios y verificar el listado.
3. Realizar búsqueda con nombre de usuario candidatos, se validará filtro por no empleados y búsqueda por nombre.</t>
  </si>
  <si>
    <t>Personas cargadas con combinaciones de is_employee y status='validado'.
Token válido y con permisos a ver candidatos.</t>
  </si>
  <si>
    <t>Búsqueda: nombre de candidato.</t>
  </si>
  <si>
    <t>Se espera que retorne un código 200 OK, y se muestren los usuarios registrados en BD, si mostrar datos sensibles, la búsqueda muestra el detalle según la solicitud. Para el listado de usuarios se mostrará con paginación.</t>
  </si>
  <si>
    <t>CP_15</t>
  </si>
  <si>
    <t>Subir documentos relacionados con registro de persona</t>
  </si>
  <si>
    <t xml:space="preserve">Adjuntar los archivos que están disponibles para su carga según el tipo de persona identificada y vincularlo al usuario autenticado. En el caso de usuarios no autenticados no deberá permitir la carga del archivo. El archivo no deberá permitir cargar otro tipo de formato o que exceda el limite en el peso permitido. </t>
  </si>
  <si>
    <t>Caso exitoso:
1. Autenticarse y obtener un token válido de usuario candidato.
2. Cargar el archivo en formato válido PDF/JPG/PNG y que no exceda de los 10MB.
3. Verificar que el documento ha sido almacenado y cargado en el perfil del candidato.
4. Iterar para cada tipo de documento válido (dui, nit, cv, titulo).
Casos fallido.
Sin permisos de carga:
1. Autenticarse y obtener un token válido con rol diferente a candidato.
2. Cargar el archivo en formato válido PDF/JPG/PNG y que no exceda de los 10MB.
3. Verificar que no permite la carga del archivo, el archivo no se almacena por falta de permisos.
Archivo con otra extensión o tamaño excede el limite:
1. Autenticarse y obtener un token válido con usuario candidato.
2. Cargar el archivo en un formato inválido o que exceda de los 10MB.
3. Verificar que no permita la carga del archivo y mostrar un mensaje por error en formato o peso del archivo.</t>
  </si>
  <si>
    <t xml:space="preserve">Usuario Candidato con registro de persona ingresado.
Usuario Asistente Financiero.
</t>
  </si>
  <si>
    <t xml:space="preserve">Caso exitoso:
type=DUI
dui=@/ruta/archivo_prueba.pdf
Casos fallidos:
Sin Authorization
type=DUI
dui=@/ruta/archivo_prueba.pdf
type=dui, dui=@/tmp/archivo.docx
type=dui, dui=@/tmp/archivo.exe
type=dui, dui=@/tmp/dui_12mb.pdf (excede)
</t>
  </si>
  <si>
    <t xml:space="preserve">Caso exitoso: se espera que responda con código 200 OK, se carga de forma exitosa el archivo para el candidato.
Casos fallidos: para el caso sin permisos se deberá de mostrar código 403 Forbidden y mostrar mensaje indicativo sin permisos. Para el caso de formatos incorrectos o que excedan el limite del peso permitido, </t>
  </si>
  <si>
    <t>CP_16</t>
  </si>
  <si>
    <t>Crear información de empleado para candidato</t>
  </si>
  <si>
    <t>Verificar que un usuario que ya ha ingresado sus datos personales pueda completar el registro como empleado y que el sistema cree el vinculo entre Persona y Empleado guarde los campos laborales requeridos y habilite funcionalidades pendientes.</t>
  </si>
  <si>
    <t>Caso exitoso:
1. Iniciar sesión con un usuario Candidato que ya completó su Información Personal y aun no ha registrado su información como empleado.
2. Dirigirse a registrar información de empleado..
3. Completar el formulario laboral con los campos requeridos.
4. Enviar solicitud de creación de información de empleado.
5. Se habilita la que pueda ingresar horarios de permanencia y que se ha registrado de forma correcta la información de empleado.
Caso fallido:
Sin permisos a ingresar información de empleado:
1. Autenticarse con un rol diferente a candidato.
2. Dirigirse a ingeso de información de empleado.
3. Ingresar información correcta y válida de empleado.
4. Enviar solicitud de ingreso.
5. Verificar que no permite el ingreso de información por falta de permisos.
Con información de empleado incorrecta o vacía:
1. Autenticarse como usuario candidato.
2. Dirigirse a ingreso de información 
3. Ingreso incorrecta o vaçia de los campos de información de empleado.
4. Verificar que no permite el ingreso de información por datos no válidos.</t>
  </si>
  <si>
    <t>Caso Exitoso.
Empleado de la universidad: Si.
Tipo de empleado: Docente.
Tipo de jornada: Medio tiempo.
Escalafon: Profesor universitario.
Partida: 1.
Subpartida: 2.
Trabaja en FIA: Si.
Caso Fallido.
Empleado de la universidad: Si.
Tipo de empleado: Docente.
Tipo de jornada: ""
Escalafon: Profesor universitario.
Partida: 1.
Subpartida: 2.
Trabaja en FIA: Si.</t>
  </si>
  <si>
    <t>Caso exitoso: Se crea la información del empleado y se asocia con la información de Persona del usuario y se habilita permanencia de horarios.
Caso fallidos: para el caso de usuarios sin permisos se espera que retorne un código 403 Forbidden ya que no se tiene permisos de ingreso de información. Para cuando se ingresa datos incorrectos o vacíos debera de mostrar 422 Unprocessable Entity y mensaje con los campos erroneos, para ambos casos no se permite el ingreso de información de empleado.</t>
  </si>
  <si>
    <t>CP_17</t>
  </si>
  <si>
    <t>Acceso por rol Candidato</t>
  </si>
  <si>
    <t>Verificar que los roles que no posean permisos a candidatos no puedan ver, crear, ni editar información de candidatos.</t>
  </si>
  <si>
    <t>1. Autenticarse con rol sin permiso.
2. Intentar ver el listado de candidatos.
3. Intentar crear regsitro de persona.
4. Intentar actualizar la información de un candidato.
5. Repetir el caso 2 con un rol con permiso.</t>
  </si>
  <si>
    <t>Rol sin permiso: Asistente Financiero.
Candidato con permiso: RRHH o candidato.</t>
  </si>
  <si>
    <t>Los usuarios con permisos a candidatos, las operaciones son permitidas y funcionan de forma correcta.
En los casos que no posean permisos, el sistema bloquea la acción, se rechaza la operación.</t>
  </si>
  <si>
    <t>CP_18</t>
  </si>
  <si>
    <t>Creación de datos persona y empleados API</t>
  </si>
  <si>
    <t>Validar que el endpoint de creación de personas permita registrar correctamente una nueva persona cuando se envía su información correcta y completa.</t>
  </si>
  <si>
    <t>1. Autenticarse en el sistema como administrador.
2. Enviar POST/persons con todos los datos completos y correctos.
3. Verificar que la respuesta obtenida sea 201 Created y se encuentre registrado de forma correcta.
4. Ejecutar GET /persons/me para confirmar que los datos persisten en el sistema.</t>
  </si>
  <si>
    <t xml:space="preserve">Usuario con permisos (RRHH o Administrador).
Existencia del catálogo distrito_id exista en la base de datos.
</t>
  </si>
  <si>
    <t>"first_name": "Ana Sofía",
"last_name": "López Hernández",
"birth_date": "1998-05-12",
"gender": "F",
"marital_status": "Soltera",
"dui": "01234567-8",
"phone": "7777-8888",
"email": "ana.lopez@correo.com",
"address": "Av. Central 123",
"distrito_id": 15</t>
  </si>
  <si>
    <t xml:space="preserve">Se espera que responda con un çodigo 201-Created y sin exponer datos sensibles, los datos se guardan de forma correcta y son accesibles via consulta. Adicional en la bitacora de auditoria queda registrada la acción de creación.
Para casos en donde la información se encuentra erronea o vacía se debera retornar código 422 Unprocessable Entity y no registra la información, para el casos de usuarios sin permiso se muestra 403 Forbidden. </t>
  </si>
  <si>
    <t>CP_19</t>
  </si>
  <si>
    <t>BITÁCORA</t>
  </si>
  <si>
    <t>Listado de bitácora de trazabilidad de acciones de usuarios</t>
  </si>
  <si>
    <t>En el módulo de "Bitácora" se deberán de listar todas las acciones correspondientes a los usuarios registrados en el sistema.</t>
  </si>
  <si>
    <t>Caso Exitoso:
1. Iniciar sesión como super administrador o administrador.
2. Acceder a la ruta de bitácora.
3. Se visualizará la información de acciones realizadas por los usuarios dentro del sistema.
Casos Fallidos.
Sin permisos:
1. Iniciar sesión con rol diferente a super administrador o administrador.
2. Acceder a la ruta de bitácora para listar las acciones que los usuarios realicen en el sistema.
3. Deberá de rechazar el acceso a dicha ruta.</t>
  </si>
  <si>
    <t>Usuario con rol de super administrador</t>
  </si>
  <si>
    <t>Se retorna código 200 OK y se listan las acciones realizadas en el sistema por nivel de prioridad. Se verifica que se muestra las opciones de paginación. Para el caso donde no se posee permisos se deberá retornar código 403 Forbbiden y mensaje detallando que no se poseen los permisos necesarios.</t>
  </si>
  <si>
    <t>GRISELDA</t>
  </si>
  <si>
    <t>CP_20</t>
  </si>
  <si>
    <t>Filtrar listado de bitácora de trazabilidad de acciones de usuarios</t>
  </si>
  <si>
    <t>En el módulo de "Bitácora", se deberá permitir realizar filtrar el listado de acciones por usuarios, los filtros permitidos son:  usuario, fecha y relevancia.</t>
  </si>
  <si>
    <t>1. Iniciar sesión como super administrador o administrador.
2. Dirigirse al listado de acciones de usuarios (bitácora de trazabilidad).
3. Filtrar el listado de acciones de usuarios por usuario.
4. Filtrar el listado de acciones de usuarios por fecha.
5. Filtrar el listado de acciones de usuarios por relevancia.</t>
  </si>
  <si>
    <t>Usuario con rol de super administrador o administrador.</t>
  </si>
  <si>
    <t xml:space="preserve">Usuario: sa16007@ues.edu.sv
Fecha: 16/07/2025
Relevancia: Baja
</t>
  </si>
  <si>
    <t>Al realizar búsquedas de campos válidos deberá de retornar código 200 OK, y mostrará la información que se ha ingresado para la búsqueda. Para casos en donde no hay información ingresada se deberá mostrar mensaje de "No hay datos".</t>
  </si>
  <si>
    <t>CP_21</t>
  </si>
  <si>
    <t>Paginación en listado de bitácora de trazabilidad de acciones</t>
  </si>
  <si>
    <t>En el módulo de "Bitácora", se mostrarán el listado de acciones de usuarios paginado, se debe poder navegar entre la paginación.</t>
  </si>
  <si>
    <t>1. Iniciar sesión como super administrador o administrador.
2. Dirigirse al listado de acciones de usuarios (bitácora de trazabilidad).
3 Ingresar detalle de paginación y obtener la información detallada.
4. Verificar el resultado obtenido y navegar entre las diferentes páginas en que se divide la información.</t>
  </si>
  <si>
    <t>Usuario con rol de super administrador.
Se debe contar con más de una página de resgistros de acciones de usuario.</t>
  </si>
  <si>
    <t>Se debe retornar con código 200 OK, y permitir colocarle paginación para mostrar la información de detalle de acciones realizadas por los usuarios.</t>
  </si>
  <si>
    <t>CP_22</t>
  </si>
  <si>
    <t>Acceso a "Bitácora" con rol no autorizado</t>
  </si>
  <si>
    <t>Restringir el acceso a usuarios sin permiso al módulo de "Bitácora".</t>
  </si>
  <si>
    <t>1. Iniciar sesión como usario diferente a administrador o super administrador.
2. Intentar acceder a "Bitácora".</t>
  </si>
  <si>
    <t>Usuario distinto a super administrador o administrador</t>
  </si>
  <si>
    <t>No deberá de mostrar la opción de "Bitácora" y retorna código 403 Forbbiden/Redirección a "Acceso denegado".</t>
  </si>
  <si>
    <t>Crítica</t>
  </si>
  <si>
    <t>CP_23</t>
  </si>
  <si>
    <t>Rendimiento de carga inicial en el módulo de "Bitácora".</t>
  </si>
  <si>
    <t>Rendimiento</t>
  </si>
  <si>
    <t xml:space="preserve">Verificar el tiempo de respuesta con 10, 000 registros </t>
  </si>
  <si>
    <t>1. Vaciar caché.
2. Iniciar sesión como super administrador o administrador.
3. Abrir "Bitácora".
4. Medir el tiempo de respuesta.</t>
  </si>
  <si>
    <t>Usuario con rol de super administrador.
Base con mas o igual a 10, 000 registros</t>
  </si>
  <si>
    <t>El tiempo de respuesta debe ser menor de 2-3 segundos</t>
  </si>
  <si>
    <t>CP_24</t>
  </si>
  <si>
    <t>ESCALAFÓN</t>
  </si>
  <si>
    <t>Listar escalafones registrados</t>
  </si>
  <si>
    <t>Verificar que el sistema devuelva los registros de escalafones ingresados. En caso no se tenga permisos para visualizar los escalafones no se mostrará datos.</t>
  </si>
  <si>
    <t>Caso Exitoso:
1. Iniciar sesión con rol de administrador.
2. Solicitar el detalle de escalafones ingresados en BD.
3. Validar la respuesta obtenida al consultar los escalafones.
Caso Fallidos:
Sin permisos:
1. Iniciar sesión como RRHH.
2. Solicitar el detalle de escalafones ingresado en BD.
3. Deberá de mostrar mensaje de usuario sin permisos para acceder a la información de escalafones.</t>
  </si>
  <si>
    <t>Usuario con rol de administrador.
Usuario con rol de RRHH.
Registros de escalafones cargados en BD.</t>
  </si>
  <si>
    <t>Se espera que retorne un código 200 OK. Y un JSON vacío si no existen datos ingresados, o lleno con la información de los registros ingresados con el detalle  { "id", "code", "name", "salary", "hour_price","deleted_at", "created_at", "updated_at" }.
Para el caso de usuarios sin permisos se retorna código 403 Forbbiden y muestra que no el usuario no tiene los permisos correspondientes.</t>
  </si>
  <si>
    <t>CP_25</t>
  </si>
  <si>
    <t>Creación de registro de escalafón</t>
  </si>
  <si>
    <t>Verificar la correcta creación de escalafón en el sistema y envío de notificación de creado. Si se dejan campos incorrectos o vacíos no permitirá la creación del registros, para los usuarios sin permisos a  la creación de escalafón no permitira dicha acción.</t>
  </si>
  <si>
    <t>Caso Exitoso:
1. Iniciar sesión con rol de administrador.
2. Dirigirse a ruta de creación de registro de escalafón.
3. Ingresar la información correcta para la creación de un escalafón.
3. Validar la respuesta obtenida y envío de correo de notificación.
Casos Fallidos:
Sin permisos:
1. Iniciar sesión con rol distinto a administrador.
2. Dirigirse a ruta de creación de registro de escalafón.
3. Se rechaza ingreso a la ruta de creación de registro de escalafón.
Con datos incorrecto o vacíos:
1. Iniciar sesión con rol de administrador.
2. Dirigirse a la ruta de creación de registro de escalafón.
3. Ingresar información incorrecta o vacía para la creación de un escalafón.
4. Se rechaza la creación del registro por datos erroneos o vacíos.</t>
  </si>
  <si>
    <t>Usuario con rol de administrador.
Usuario con rol de RRHH.</t>
  </si>
  <si>
    <t>Caso exitoso:
"code":"E001"
"name":"Escalafón I"
"salary":800.50
"hour_price":10.5
Caso fallido:
"code":"E001"
"name":" "
"salary":800.50
"hour_price":10.5</t>
  </si>
  <si>
    <t>Caso exitoso: Se espera que retorne código 201 CREATED. Y el json con el detalle { "escalafon": { "id", "code":"E001", "name":"Escalafón I", "salary":800.5, "hour_price":10.5, "created_at", "updated_at" }} y se envía correo de notificación a administradores del sistema.
Caso fallido: para el usuario sin permiso rechaza la solicitud de ingreso de creación de escalafón y retorna código 403-Forbidden. Para cuando se presentan datos incorrectos o vacíos rechaza la creación y muestra mensaje de error detallando los campos incorrectos. Para ambos casos no se crea el registro.</t>
  </si>
  <si>
    <t>CP_26</t>
  </si>
  <si>
    <t>Actualizar registro de escalafón</t>
  </si>
  <si>
    <t>Editar un registro existente de escalafón de forma correcta. Rechazar la petición de actualización cuando no se posean los permisos correspondientes o cuando se envian datos vacío o erronéos.</t>
  </si>
  <si>
    <t>Caso exitoso:
1. Iniciar sesión con rol de administrador.
2. Dirigirse a la ruta de actualizar registro de escalafón.
3. Identificar el registro a actualizar.
4. Actualizar el registro de escalafón.
5. Verificar la respuesta obtenida y envío de correo de notificación.
Caso Fallidos:
Sin permisos:
1. Iniciar sesión con rol distinto a administrador.
2. Dirigirse a ruta de creación de registro de escalafón.
3. Se rechaza ingreso a la ruta de actualización de registro de escalafón.
Datos incorrectos o vacíos:
1. Iniciar sesión con rol de administrador.
2. Dirigirse a la ruta de actualizar registro de escalafón.
3. Identificar el registro a actualizar.
4. Actualizar el registro de escalafóncon datos incorrectos o vacíos.
5. Verificar que se rechaza la solicitud y  nos se envia correo de notificación.</t>
  </si>
  <si>
    <t>Caso exitoso:
"code":"E001A"
"name":"Escalafón I (edit)"
"salary":900.75
"hour_price":12
Caso fallido:
"code":"E001A"
"name":""
"salary":900.75
"hour_price":12</t>
  </si>
  <si>
    <t>Caso exitoso: Se espera que retorne código 200 OK. Y json de respuesta con { "escalafon": {id,code:"E001A",name:"Escalafón I (edit)",salary:900.75,hour_price:12,...}, "mensaje": "Se actualizo con exito" **o** "No se envio el correo" }
Caso fallido: se espera que para el caso de usuario sin permisos se retorne código 403 - Forbidden y rechaza la solicitud. Para el caso de datos incorrectos o vacíos se retorna código 422 - Unprocessable Entity, con detalle de los campos erroneos, se rechaza la solicitud. se modifica en ambos casos.</t>
  </si>
  <si>
    <t>CP_27</t>
  </si>
  <si>
    <t>Ver detalle especifico de registro de escalafon.</t>
  </si>
  <si>
    <t>Verificar que el sistema nos retorne la información de escalafon al consultar un registro en especifico</t>
  </si>
  <si>
    <t>1. Iniciar sesión con rol de administrador.
2. Dirigirse a la ruta de consulta de registro de escalafón.
3. Identificar el registro escalafón a consultar.
4. Obtener la información del escalafón especificados.</t>
  </si>
  <si>
    <t xml:space="preserve">Obtener token como administrador.
Escalafón existente.
</t>
  </si>
  <si>
    <t>Código id válido.</t>
  </si>
  <si>
    <t>Se espera retorne un código 200 OK. Y el objeto solicitado en formato JSON "escalafon": { "escalafon": { "id","code","name","salary","hour_price","created_at","updated_at" } }. Para registros de escalafón que no existen se espera que retorne un código 404 NOT FOUND. Y detalle que el registro no fue encontrado.</t>
  </si>
  <si>
    <t>CP_28</t>
  </si>
  <si>
    <t>Eliminar registro de escalafón.</t>
  </si>
  <si>
    <t>El sistema borra de manera exitosa el registro de escalafón cuando este no tiene relaciones con candidatos, si posee relaciones con empleados activas el registro no puede eliminarse.</t>
  </si>
  <si>
    <t xml:space="preserve">Casos sin relación activa de empleado:
1. Asegurarnos que el registro no posea registros asociados a empleados.
2. Autenticarse como administrador
3. Búsqueda de registro a eliminar.
4. Eliminar registro especificado.
5. Validar que el registro se elimino de forma exitosa.
Casos con relación activa de empleado:
1. Asegurarnos que el registro no posea registros asociados a empleados.
2. Autenticarse como administrador
3. Búsqueda de registro a eliminar.
4. Eliminar registro especificado.
5. Validar que se rechaza la solicitud de eliminación del registro de escalafón.
</t>
  </si>
  <si>
    <t>Obtener token como administrador.
Registro de escalafón existente con relación de empleado.
Registro de escalafón existente sin relación de empleado.</t>
  </si>
  <si>
    <t>id válido</t>
  </si>
  <si>
    <t>Con empelados asociados: Se espera que retorne un código 204 No Content. Y en el GET debe de retornar un código 404 NOT FOUND.
Sin empleados asociados: Se espera que retorne un código 422 y JSON con { "message": "No se puede eliminar el escalafón ya que tiene empleados asignados" } No se elimina el registro.</t>
  </si>
  <si>
    <t>CP_29</t>
  </si>
  <si>
    <t>Rutas protegidas de módulo escalafón</t>
  </si>
  <si>
    <t>Validar que unicamente el rol de administrador tenga acceso y visualización al módulo de Escalafón.</t>
  </si>
  <si>
    <t>1. Iniciar sesión como candidato.
2. Intentar ingresar a una ruta del módulo de gestión de escalafones.
3. Verificar que el usuario candidato no posea permisos para ingresar a las rutas protegidas.</t>
  </si>
  <si>
    <t>Usuario con rol de candidato.</t>
  </si>
  <si>
    <t>Para las rutas de Escalafón unicamente los usuarios con rol de administrador tienen acceso, cualquier otro rol que intente ingresar la petición será rechazada y retornará código 403 Forbidden.</t>
  </si>
  <si>
    <t>CP_30</t>
  </si>
  <si>
    <t>CONTRATACIÓN</t>
  </si>
  <si>
    <t>Crear Solicitud SPNP/TI/TA</t>
  </si>
  <si>
    <t>Confirmar que un Director puede crear una solicitud de contratación SPNP/TI/TA cargando todos los campos obligatorios. Se valida la respuesta del servicio, el estado inicial de la solicitud, la asociación con la escuela del director y que la nueva solicitud aparezca en “mis solicitudes”.</t>
  </si>
  <si>
    <t>1. Autenticarse como Director con permisos y con una escuela asignada.
2. Identificar el tipo de contrato a seleccionar (usar el id correspondiente).
3. Enviar la creación de la solicitud con todos los campos obligatorios completos.
4. Verificar que el servicio responde 201 Creado y devuelve el objeto de la solicitud.
5. Comprobar que la solicitud queda con el estado inicial definido para nuevas solicitudes.
6. Abrir el listado de “mis solicitudes” y confirmar que la nueva solicitud aparece con los datos correctos.</t>
  </si>
  <si>
    <t>Existe un usuario Director con sesión/token válido y permisos para crear solicitudes.
La escuela del Director existe y está activa.
El tipo de contrato SPNP/TI/TA existe.
El servicio para crear solicitudes está disponible.</t>
  </si>
  <si>
    <t>contract_type_id: id de SPNP
school_id: id de la escuela del Director
modality: “Modalidad Presencial”, “Modalidad en Linea”, “Modalidad Semi-Presencial”
message:“Contratación SPNP 2025 – Matemática”</t>
  </si>
  <si>
    <t>Se espera que retorne codigo 201 CREATED. con el objeto hiringRequest incluyendo id, contract_type_id (SPNP/TI/TA), school_id (la del Director), modality y message.
La solicitud se crea con el estado inicial previsto para “nueva”.
El usuario creador queda asociado a la solicitud.
La solicitud aparece en /hiringRequest/mine para ese Director con los mismos datos.
No hay errores de validación ni de permisos.
Cuando existen errores en el formulario retorna un código 422 con un cuerpo que incluya los errores por campo ( contract_type_id, school_id, modality, message).
No se crea ninguna solicitud.</t>
  </si>
  <si>
    <t>CP_31</t>
  </si>
  <si>
    <t>Agregar candidato (detalle) a solicitud</t>
  </si>
  <si>
    <t>Comprobar que se pueda agregar una persona como candidato al detalle de una solicitud de contratación y que, al hacerlo, el sistema asocie correctamente al candidato, actualice el detalle y envíe la notificación correspondiente sin duplicar registros.</t>
  </si>
  <si>
    <t>1. Tener una solicitud existente en estado que permita edición del detalle.
2. Enviar la petición para agregar el candidato al detalle indicando el id de la persona. POST /hiringRequest/{hiringRequestId}/detail
3. Verificar que el servicio responde 201 y devuelve el detalle con el candidato asociado.
4. Revisar que el candidato aparece en la lista de detalles de la solicitud.
5. Confirmar que, si aplica, se envió la notificación al candidato.
6. Intentar agregar de nuevo al mismo candidato y comprobar que el sistema lo impide con error controlado.</t>
  </si>
  <si>
    <t>Usuario autenticado con permisos para editar la solicitud.
Solicitud en un estado editable.
Persona existente en el sistema-
Configuración de correo activa para observar la notificación.</t>
  </si>
  <si>
    <t>id_persona: id de la persona</t>
  </si>
  <si>
    <t>Se retorna un código 201 CREATED y un json con el objeto de detalle que incluye referencia a la solicitud y al candidato agregado.
El candidato queda visible en el listado de detalles de esa solicitud.
Se dispara la notificación al candidato y queda registro del envío.
El sistema evita duplicados del mismo candidato en la misma solicitud.
No se permiten altas si la solicitud ya no es editable.</t>
  </si>
  <si>
    <t>CP_32</t>
  </si>
  <si>
    <t>Actualizar detalle solicitud SPNP/TI/TA</t>
  </si>
  <si>
    <t>Comprobar que se pueda editar el detalle SPNP/TI/TA de una solicitud (jornadas/horas, actividades, periodo y, si aplica, honorarios) y que el sistema guarde los cambios correctamente, mantenga la consistencia del detalle y registre la acción</t>
  </si>
  <si>
    <t>1. Tener una solicitud con detalle SPNP/TI/TA en un estado que permita editar.
2. Enviar la actualización del detalle con los campos necesarios (horas, actividades, periodo, honorarios si corresponde).  PUT /hiringRequest/detail/{detailId}/spnp
3. Verificar que la respuesta sea 200 y que el objeto devuelto refleje los nuevos valores.
4. Consultar nuevamente el detalle (o listar detalles) para confirmar que los datos persistieron.
5. Probar con horas fuera de rango o actividades vacías y confirmar que el sistema rechaza la edición con error claro.
6. Intentar editar cuando la solicitud ya está en una fase no editable y confirmar que el sistema bloquea la acción.</t>
  </si>
  <si>
    <t>Usuario autenticado con permiso para editar el detalle.
Solicitud en estado editable.
Existe el detalle SPNP/TI/TA a actualizar.</t>
  </si>
  <si>
    <t>Valido:
horas_totales: número dentro del rango permitido.
actividades: texto claro
periodo: fechas coherentes
honorarios: si aplica, monto válido.
Invalido:
horas_totales = 0 o negativas
actividades = ""
periodo con inicio &gt; fin.</t>
  </si>
  <si>
    <t>Se espera código de retorno 200 OK y el detalle SPNP/TI/TA actualizado con los nuevos datos.
Los cambios quedan persistidos y visibles al volver a consultar.
Ediciones con datos inválidos: código 422 /400 con mensajes por campo; no se guardan cambios.
Si la solicitud no es editable por estado: 403/400 y el detalle no se modifica.
Se registra la acción en bitácora.</t>
  </si>
  <si>
    <t>CP_33</t>
  </si>
  <si>
    <t>Enviar Solicitud a RRHH (ERH)</t>
  </si>
  <si>
    <t>Mover la solicitud a ERH para revisión de RRHH y notificar al área correspondiente. Debe registrar historial/bitácora y aplicar la política de edición del estado ERH</t>
  </si>
  <si>
    <t>1. Abrir una solicitud completa que aún está en edición.
2. Ejecutar la acción “Enviar a RRHH”. POST /hiringRequest/{id}/sendToHR
3. Ver respuesta exitosa y que el estado cambió a ERH.
4. Verificar que la solicitud aparece en la bandeja de RRHH.
5. Revisar historial/bitácora con el cambio.
6. Intentar editar la solicitud estando en ERH y confirmar el comportamiento definido.</t>
  </si>
  <si>
    <t>Director (emite)
RRHH (recibe) 
Sistema (notifica/bitácora).
Director autenticado con permisos
Solicitud con candidato agregado y detalle completos (SPNP/TI/TA). Servicio de envío disponible.</t>
  </si>
  <si>
    <t>id de solicitud y comentario opciona</t>
  </si>
  <si>
    <t>Estado ERH aplicado; solicitud visible para RRHH; notificación enviada; bitácora registrada; política de edición de ERH activa.</t>
  </si>
  <si>
    <t>CP_34</t>
  </si>
  <si>
    <t>Revisión de Solicitud RRHH: Aprobar</t>
  </si>
  <si>
    <t>RRHH aprueba la revisión de la solicitud en estado ERH, dejando el visto bueno de RRHH registrado (flag/campos de aprobación), bloqueando la edición de borrador para el Director y habilitando el paso posterior a ESD. Debe quedar trazabilidad (revisor, fecha/hora, comentarios) y notificación al Director.</t>
  </si>
  <si>
    <t>1. Partir de una solicitud en ERH (enviada a RRHH), con candidato y detalle(s) completos.
2. Autenticarse como RRHH con permisos de revisión.
3. Ejecutar la acción de aprobar revisión enviando approved=true y comentarios (breves). POST /hiringRequest/{id}/hr/review
4. Verificar respuesta 200 (o 201 según convención) sin errores.
5. Consultar la solicitud y comprobar que quedan registrados.
6. Intentar editar la solicitud como Director por estar aprobada por RRHH.
7. Confirmar que NO se cambia automáticamente a ESD.
8. Verificar notificación al Director informando la aprobación de RRHH.
9. Validar que se registró la bitácora.
10. Repetir la acción un segundo intento de aprobar debe responder 409/400 controlado, sin duplicar ni alterar datos.</t>
  </si>
  <si>
    <t>Solicitud en ERH
RRHH autenticado con permiso de revisión
servicios de correo/bitácora disponibles</t>
  </si>
  <si>
    <t>válidos:
 "approved": true
"comments": "Revisión OK. Cumple requisitos de perfil y documentos."
inválidos:
Solicitud no en ERH
approved faltante o no boolean
Sin permisos/autenticación
Reintento de aprobación</t>
  </si>
  <si>
    <t>Quedan grabados los datos de aprobación de RRHH (flag TRUE, revisor, fecha, comentarios).
Edición de borrador bloqueada para el Director (endpoints de edición devuelven 403/400).
Se mantiene el estado ERH (no pasa a ESD automáticamente).
Se envía notificación al Director.
Existe entrada de bitácora completa.  
Reintentos o estados inválidos deben tener errores controlados sin efectos secundarios.</t>
  </si>
  <si>
    <t>CP_35</t>
  </si>
  <si>
    <t>Enviar a Validación (ESD)</t>
  </si>
  <si>
    <t>Verificar cuando el director envía una solicitud completa a revisión, el sistema cambia el estado a ESD (“Enviada a Secretaría/Validación”) y marca validated igual true. Esto asegura que la solicitud queda lista para la siguiente etapa y ya no puede seguir editándose como borrador.</t>
  </si>
  <si>
    <t>1. Partir de una solicitud completa (con sus detalles, horarios/documentos requeridos) que aún no ha sido enviada a validación (validated = false).
2. Ejecutar la acción de “Enviar a validación” sobre esa solicitud.
3. Verificar que la respuesta confirma el cambio de estado a ESD y que el indicador validated ahora es true.
4. Revisar que la solicitud ya no permita ediciones propias de borrador.
5. Comprobar que la solicitud aparece en los listados correspondientes a validación/secretaría para su recepción.
6. Confirmar que se registró bitácora del cambio de estado y que se enviaron las notificaciones previstas.</t>
  </si>
  <si>
    <t>Usuario autenticado como director.
Existe una solicitud.</t>
  </si>
  <si>
    <t>solicitud.
POST /contratacion/solicitudes/&lt;ID_SOL&gt;/enviar-validacion</t>
  </si>
  <si>
    <t>Se espera que retorne código 200 OK, la solicitud queda en ESD, validated = True, se bloquea la edición propia de borrador. La solicitud aparece en la bandeja Validación/Secretaría. Se envía a los destinatarios configurados.</t>
  </si>
  <si>
    <t>CP_36</t>
  </si>
  <si>
    <t>Revisión Solicitud RRHH: Observar/Rechazar</t>
  </si>
  <si>
    <t>Cuando RRHH no aprueba la revisión, debe devolver la solicitud a edición con comentarios obligatorios y dejar habilitada la edición al Director. Debe registrarse bitácora, enviarse notificación y bloquear el avance a ESD hasta que RRHH vuelva a aprobar.</t>
  </si>
  <si>
    <t xml:space="preserve">1. Partir de una solicitud en ERH (en revisión de RRHH), con candidato y detalle completos.
2. Autenticarse como RRHH con permisos de revisión.
3. Ejecutar la acción de observar/rechazar enviando approved=false y comments con los pendientes. POST /hiringRequest/{id}/hr/review
4. Ver respuesta exitosa (200/201).
5. Consultar la solicitud.
6. Ingresar como Director e intentar editar el/los detalle(s): la edición debe estar habilitada.
7. Verificar que el Director recibió la notificación con las observaciones.
8. Revisar bitácora con actor RRHH.
9. Probar idempotencia y errores: un nuevo “observar” cuando ya está en edición intentar observar una solicitud ya aprobada por RRHH
</t>
  </si>
  <si>
    <t>Solicitud en ERH
RRHH autenticado con permiso
motor de correo/alertas activo</t>
  </si>
  <si>
    <t>Válidos:
"approved": false,
  "comments": "Faltan respaldos de títulos y corrección de carga horaria en TI."
Inválidos:
Sin comments o vacíos.
Solicitud no está en ERH.
Id inexistente
Usuario sin permiso
Reintento de observar estando ya en edición</t>
  </si>
  <si>
    <t>La solicitud regresa a edición (FSC/RDC según catálogo).
Flag de aprobación RRHH en FALSE (o equivalente) y avance a ESD bloqueado hasta nueva aprobación.
Edición habilitada para el Director.
Comentarios visibles para el Director
Notificación enviada con el detalle de observaciones.
Bitácora creada con actor, fecha/hora, comentario y transición de estado.
Reintentos o estados inválidos responden con errores controlados y sin efectos secundarios.</t>
  </si>
  <si>
    <t>CP_37</t>
  </si>
  <si>
    <t>Reenviar Solicitud a RRHH tras correcciones</t>
  </si>
  <si>
    <t>El Director corrige la solicitud según las observaciones de RRHH y la reenvía a revisión. Debe pasar de edición a ERH, quedando registrada la nueva iteración preservando las observaciones anteriores y notificando a RRHH. Mientras esté en ERH, se aplica la política de edición</t>
  </si>
  <si>
    <t>1.Tomar una solicitud que fue observada por RRHH y que ahora está de vuelta en edición con comentarios visibles.
2. Como Director, corregir los puntos señalados (detalles SPNP/TI/TA, documentos, periodos, horas, etc.).
3. Ejecutar la acción “Reenviar a RRHH”.POST /hiringRequest/{id}/sendToHR
4. Ver respuesta exitosa
5. Consultar la solicitud.
6. Intentar editar la solicitud estando en ERH y validar el comportamiento definido.
7. Verificar que RRHH recibe la notificación del reenvío y que la solicitud aparece en su bandeja de pendientes.</t>
  </si>
  <si>
    <t>Solicitud con observaciones de RRHH (estado de edición tras ERH con approved=false), comentarios visibles, y con capacidad de ser corregida.
Servicios de correo/bitácora activos.</t>
  </si>
  <si>
    <t>Válido:
"comments": "Corregidas horas TI y adjuntados títulos solicitados."
Inválido:
Falta de correcciones (persisten errores) no cambia a ERH.
Solicitud no en estado de edición
Id inexistente
Usuario sin permiso
Reenvío duplicado idempotente sin duplicar bitácora ni notificaciones.</t>
  </si>
  <si>
    <t>La solicitud cambia a ERH con bitácora del reenvío
Se incrementa el contador de revisión o queda nueva entrada de ciclo.
Notificación a RRHH enviada; la solicitud aparece en su bandeja.
Edición en ERH se bloquea o se maneja conforme a la política definida.
En casos inválidos, respuestas controladas</t>
  </si>
  <si>
    <t>CP_38</t>
  </si>
  <si>
    <t>Notificaciones ERH</t>
  </si>
  <si>
    <t>Validar los correos/avisos generados en el tramo ERH del flujo: enviar a RRHH, aprobar y observar. Se comprueba que se disparen en los momentos correctos, lleguen a los destinatarios adecuados, usen la plantilla correcta con variables bien sustituidas, y queden registrados (cola/log/bitácora), sin duplicados ni envíos cuando el estado es inválido.</t>
  </si>
  <si>
    <t>1. Realizar las funciones que centralizadas por RRHH.
2. Verificar el formato de los correos y las plantillas utilizadas y el envío a las personas correspondientes.</t>
  </si>
  <si>
    <t>Servicios de correo/cola activos</t>
  </si>
  <si>
    <t>POST /hiringRequest/{id}/sendToHR
POST /hiringRequest/{id}/hr/review
POST /hiringRequest/{id}/hr/review</t>
  </si>
  <si>
    <t>Enviar a RRHH: correo/aviso a RRHH con datos de la solicitud y enlace para revisión.
Aprobar: correo/aviso a Director con aprobación, comentarios y recordatorio de que la edición está bloqueada.
Observar: correo/aviso a Director con observaciones y pasos para corregir y reenviar.
Asunto, cuerpo, variables y enlaces correctos; remitente/Reply-To configurados; sin duplicados; registro en cola/log/bitácora.
Acciones repetidas o en estados inválidos no envían correo y responden 400/409 controlado; no dejan residuos en la cola.</t>
  </si>
  <si>
    <t>CP_39</t>
  </si>
  <si>
    <t>Enviar Solicitud a Validación (ESD) - Con Observación</t>
  </si>
  <si>
    <t>Cambiar la solicitud a ESD (lista para validación) solo si la revisión de RRHH (ERH) fue aprobada. Al hacerlo, debe bloquearse la edición de borrador, registrarse en bitácora y enviarse notificaciones a Secretaría/Director.</t>
  </si>
  <si>
    <t>1. Tener una solicitud con candidato y detalles completos, ERH aprobado y validated=false.
2. Ejecutar la acción “Enviar a validación”. POST /hiringRequest/{id}/finalize
3. Ver respuesta sin errores.
4. Consultar la solicitud y confirmar request_status = ESD y validated = true.
5. Intentar editar (crear/actualizar/eliminar detalle SPNP/TI/TA) y debe rechazar.
6. Verificar que aparece en la bandeja/listado de Secretaría.
7. Revisar bitácora y notificaciones emitidas.</t>
  </si>
  <si>
    <t>Director autenticado con permiso
solicitud en edición (RDC/CSC) con ERH=aprobado
servicios de bitácora y correo operativos.</t>
  </si>
  <si>
    <t>Válido:
id de la solicitud y comentario opcional.
Inválido:
Enviar sin ERH aprobado.
Solicitud incompleta.
Id inexistente.
Estado inválido.
Usuario sin permiso.
Reintento del envío error controlado.</t>
  </si>
  <si>
    <t>Cambia a ESD y validated=true.
Edición de borrador deshabilitada.
Solicitud visible para Secretaría; bitácora y notificaciones correctas.
Intentos inválidos devuelven 403/409/400/404 sin efectos sobre datos/estado.</t>
  </si>
  <si>
    <t>CP_40</t>
  </si>
  <si>
    <t>Recepción de Solicitud Secretaría (RDS)</t>
  </si>
  <si>
    <t>Registrar que Secretaría recibe una solicitud lista para validación (estado ESD y validated=true) y la cambia a RDS. Debe permitir guardar comentarios, dejar bitácora (actor, fecha, estado anterior→nuevo) y mostrar la solicitud en la bandeja de Secretaría. No debe alterar los detalles de la solicitud.</t>
  </si>
  <si>
    <t>1. Partir de una solicitud en ESD con validated=true.
2. Autenticarse como Secretaría con permisos.
3. Ejecutar “Recepción de Secretaría” con comentario breve. POST /hiringRequest/{id}/secretaryReception.
4. Ver respuesta exitosa.
5. Consultar la solicitud y confirmar request_status = RDS y que los comentarios se guardaron.
6. Ver la solicitud en la bandeja/listado de Secretaría.
7. Revisar bitácora con actor Secretaría, fecha/hora y transición ESD a RDS.
8. Validar que los detalles (SPNP/TI/TA) no se modificaron por esta acción.
9. Probar idempotencia: repetir la recepción, idempotente sin duplicar ni cambiar nada.</t>
  </si>
  <si>
    <t>Solicitud existente en ESD con validated=true.
Servicios de correo/bitácora activos.
Secretaría autenticada con permiso.</t>
  </si>
  <si>
    <t>Válido:
"comments": "Recibida para agenda a JD."
Inválido:
Solicitud no está en ESD o validated=false.
Id inexistente.
Usuario sin permiso / no autenticado.
Recepción repetida (ya RDS/RJD/GDC).</t>
  </si>
  <si>
    <t>La solicitud pasa a RDS con comentarios guardados.
Se registra bitácora completa (actor, fecha/hora, estado previo a RDS, comentario).
La solicitud aparece en la bandeja de Secretaría y queda disponible para agendar.
No hay cambios en detalles ni en archivos adjuntos.
Reintentos/estados inválidos errores controlados sin efectos.</t>
  </si>
  <si>
    <t>CP_41</t>
  </si>
  <si>
    <t>Aprobación JD (GDC)</t>
  </si>
  <si>
    <t>Registrar la aprobación de Junta Directiva (JD) de una solicitud en RJD, generando el dictamen (acta y decisión) y cambiando el estado a GDC. Debe quedar trazabilidad completa (actor, fecha/hora, acta, decisión), notificaciones a los actores (Director, Secretaría y RRHH) y habilitar la generación de contratos. No debe modificar los detalles de la solicitud.</t>
  </si>
  <si>
    <t>1. Partir de una solicitud en RJD (Agendada para JD).
2. Autenticarse como Secretaría/JD con permisos para registrar el dictamen.
3. Ejecutar la acción “Aprobación JD”. POST /hiringRequest/{id}/approveJD. adjuntando/indicando acta y decisión igual a aprobada (más observaciones si aplica).
4. Ver respuesta exitosa.
5. Consultar la solicitud.
6. Validar que no se alteraron los detalles (SPNP/TI/TA).
7. Verificar notificaciones enviadas a Director (resultado), RRHH (habilitación de contrato) y Secretaría (copia).
8. Intentar generar contrato con detailId debe permitirse.
9. Repetir aprobación o intentar aprobar en estado no válido; sin permiso</t>
  </si>
  <si>
    <t>Solicitud en RJD
Servicio de almacenamiento para actas operativo.
correo/alertas activo.
Reglas de transición definidas.</t>
  </si>
  <si>
    <t>Válido:
"decision": "approved",
  "minutes_number": "ACTA-2025-034",
  "minutes_file_id": "file_abc123.pdf",
  "comments": "Aprobado por unanimidad."
Inválido:
Solicitud no en RJD.
Falta acta/decisión o formato inválido.
Id inexistente.
Usuario sin permiso.
Aprobación repetida (ya GDC).
Archivo de acta no accesible.</t>
  </si>
  <si>
    <t>Estado cambia a GDC; dictamen (acta/decisión/observaciones) persistido y vinculado a la solicitud.
Bitácora registrada (actor, timestamp, RJD a GDC, número/archivo de acta).
Notificaciones correctas a Director, RRHH y Secretaría.
Sin cambios en los detalles (SPNP/TI/TA).
Habilitada la generación de contratos (GET /contract/hiringRequestDetail/{detailId}/generate).
Reintentos/estados inválidos y errores controlados sin efectos.</t>
  </si>
  <si>
    <t>CP_42</t>
  </si>
  <si>
    <t>Generar Contrato SPNP/TI/TA</t>
  </si>
  <si>
    <t>Generar el contrato (PDF) a partir de un detalle SPNP/TI/TA de una solicitud aprobada por JD (GDC). Debe seleccionar la plantilla SPNP, completar variables (periodo, horario, docente, DUI/NIT, horas/jornadas/actividades, escuela, número de solicitud/contrato), renderizar el PDF, almacenarlo en el storage y vincularlo al detalle/solicitud. La operación debe ser idempotente y no alterar los datos del detalle.</t>
  </si>
  <si>
    <t xml:space="preserve">1. Partir de una solicitud en GDC con al menos un detalle SPNP/TI/TA válido.
2. Como usuario autorizado invocar “Generar contrato” para ese detailId. GET /contract/hiringRequestDetail/{detailId}/generate.
3. Ver respuesta 200 con el archivo (stream) o la ruta/URL del PDF generado.
4. Verificar en storage que existe el archivo con nombre esperado.
</t>
  </si>
  <si>
    <t>Solicitud en GDC. 
Detalle SPNP/TI/TA asociado y completo.
Plantilla SPNP/TI/TA cargada.
Storage accesible (espacio/permiso).
Servicios de bitácora y notificaciones activos</t>
  </si>
  <si>
    <t xml:space="preserve">Válido:
detailId del detalle SPNP/TI/TA.
Inválido:
detailId inexistente.
detailId no corresponde a SPNP/TI/TA.
Detalle pertenece a una solicitud no GDC.
Usuario sin permiso.
Plantilla faltante o error de render.
Storage inaccesible/sin espacio.
Concurrencia resultado consistente.
</t>
  </si>
  <si>
    <t>PDF de contrato SPNP/TI/TA generado correctamente, almacenado en la ruta configurada y vinculado al detalle/solicitud.
Contenido del PDF completo y coherente con el detalle (periodo, horario/jornadas/actividades, datos del docente con DUI/NIT formateado, etc.).
Idempotencia garantizada (no basura, no duplicados indebidos).
Sin cambios en el estado/datos del detalle ni de la solicitud.
Bitácora de evento (usuario, fecha, detailId, resultado); notificación si aplica.
En escenarios inválidos, respuestas controladas sin efectos secundarios.</t>
  </si>
  <si>
    <t>CP_43</t>
  </si>
  <si>
    <t>Permisos por rol en solicitudes de contratación</t>
  </si>
  <si>
    <t>Validar que el RBAC (gates/policies) bloquea el acceso a rutas protegidas cuando el rol del usuario no está autorizado. Peticiones deben responder 403 Forbidden sin efectos sobre datos/estados y dejando trazabilidad mínima.</t>
  </si>
  <si>
    <t>1. Preparar tokens válidos para: Director, Secretaría, RRHH, JD y un usuario sin rol. Preparar además token expirado y sin token.
2. Intentar cada endpoint con roles no autorizados.
3. Repetir paso 2 usando token expirado y sin token.
4. Para cada intento, capturar código/ cuerpo y verificar que no cambia ningún dato.
5. Ejecutar una llamada con el rol correcto por endpoint para confirmar que el acceso sí es posible cuando corresponde</t>
  </si>
  <si>
    <t>Existen solicitudes y detalles en estados que permitan invocar las rutas.
Contratos generados para probar estado/historial.
RBAC configurado en policies/gates.</t>
  </si>
  <si>
    <t>Crear solicitud: POST /hiringRequest (probar con RRHH/Secretaría/JD/usuario sin rol).
Enviar a RRHH: POST /hiringRequest/{id}/sendToHR (probar RRHH/Secretaría/JD).
Enviar a Validación (ESD): POST /hiringRequest/{id}/finalize (probar RRHH/Secretaría/JD).
Recepción Secretaría: POST /hiringRequest/{id}/secretaryReception (probar Director/RRHH/JD).
Agendar JD: POST /hiringRequest/{id}/scheduleJD (probar Director/RRHH/JD).
Aprobación JD (GDC): POST /hiringRequest/{id}/approveJD (probar Director/RRHH).
Generar contrato: GET /contract/hiringRequestDetail/{detailId}/generate (probar Director/Secretaría/JD).
Cambiar estado de contrato: POST /contract/hiringRequestDetail/{detailId}/status (probar Director/JD).
Mis Solicitudes de otro usuario: GET /hiringRequest/mine con token de otro director (no debe ver ajenas).</t>
  </si>
  <si>
    <t>Para roles no autorizados retornará código 403 Forbidden con mensaje claro; sin cambios en BD/archivos/bitácora de negocio.
Sin token / token inválido o expirado deberá retornar código 401Unauthorized.
Aislamiento en GET /hiringRequest/mine: nunca aparecen solicitudes de otros usuarios.
Llamadas de sanidad con el rol correcto retornará código 200 OK.</t>
  </si>
  <si>
    <t>CP_44</t>
  </si>
  <si>
    <t>Flujo completo de gestión de contratación</t>
  </si>
  <si>
    <t>Validar que los enpoints que se ven involucrados en el proceso de gestión de funcionan de forma correcta y adecuada, permitiendo obtener respuestas en cada  paso de la gestión de contratación.</t>
  </si>
  <si>
    <t>1. Creación de solicitud de contratación de docentes.
2. Relacionar solicitud con candidatos activos.
3. Envio a recursos humanos.
4. Validación de recursos humanos, si no existen observaciones se envia solicitud a secretaría.
5. Validación de secretaria, sin observaciones se envia al siguiente paso.
6. Obtención y generación de contratos.
7. Notificación de contratación.</t>
  </si>
  <si>
    <t>Usuarios director, recursos humanos, administrativo.</t>
  </si>
  <si>
    <t>Datos a generar durante el proceso de contratación</t>
  </si>
  <si>
    <t>Creación exitosa del proceso de contratación de personal docente.</t>
  </si>
  <si>
    <t>Ejecución</t>
  </si>
  <si>
    <t>CP_45</t>
  </si>
  <si>
    <t>SEGURIDAD</t>
  </si>
  <si>
    <t>Seguridad: inyección SQL / XSS</t>
  </si>
  <si>
    <t>Validar la resistencia del sistema frente a ataques de inyección SQL y Cross-Site Scripting (XSS). El objetivo es confirmar que los endpoints de creación y edición de registros no sean vulnerables a la manipulación de datos mediante consultas maliciosas ni a la ejecución de scripts que comprometan la seguridad de la aplicación o la confidencialidad de la información.</t>
  </si>
  <si>
    <t>1. Ingresar a la aplicación e identificar los formularios o campos de texto habilitados para creación o edición de registros
2. Enviar cada uno de los payloads maliciosos a través de dichos campos utilizando herramientas como Postman o directamente en la UI.
3, Monitorear la respuesta del servidor.
4. Revisar los logs del sistema para confirmar que no existan consultas SQL alteradas ni ejecución de scripts.
5.Validar en el navegador que los payloads no se reflejen en la UI ni disparen alertas o ejecución de código.</t>
  </si>
  <si>
    <t>El usuario de prueba cuenta con credenciales válidas para interactuar con la aplicación.
Se habilitan herramientas de monitoreo para validar el comportamiento de los inputs maliciosos.</t>
  </si>
  <si>
    <t>Inyección SQL básica:
' OR 1=1 --
admin' --
SELECT * FROM users;
Inyección SQL avanzada:
'; DROP TABLE users; --
0' UNION SELECT null, username, password FROM users --
XSS reflejado y almacenado:
&lt;script&gt;alert('XSS')&lt;/script&gt;
&lt;img src=x onerror=alert('XSS')&gt;
&lt;svg/onload=alert(1)&gt;</t>
  </si>
  <si>
    <t>El sistema debe neutralizar cualquier intento de inyección SQL o XSS.
No deben ejecutarse consultas alteradas ni mostrarse información sensible.
Los inputs maliciosos deben ser sanitizados o rechazados con un mensaje de validación adecuado.
La aplicación debe mantener su comportamiento normal sin interrupciones ni exposición de datos.</t>
  </si>
  <si>
    <t>CP_47</t>
  </si>
  <si>
    <t>RENDIMIENTO</t>
  </si>
  <si>
    <t>Tiempo de respuesta en listados principales</t>
  </si>
  <si>
    <t>Verificar que los listados más importantes respondan rápido cuando varios usuarios los usan al mismo tiempo. Queremos asegurar que el 95% de las consultas tarden menos de 500 milisegundos.</t>
  </si>
  <si>
    <t>1. Preparar la base de datos: cargar al menos 10,000 registros de usuarios, personas, empleados, documentos y permanencia.
2. Configurar la prueba: usar paginación real y busquedas tipicas.
3. Ejecutar consultas minimas durante 1 minuto  para que el sistema se prepare y active sus cachés.
4. Durante 5 minutos hacer 10 consultas por segundo a cada endpoint</t>
  </si>
  <si>
    <t>Base de datos con registros ingresados.
Ambiente similar al de producción.</t>
  </si>
  <si>
    <t>Listados a probrar:
1. /users
2. /personas
3. /empleados
4. /solicitudes
5. /permanecia
7. /Catalogos</t>
  </si>
  <si>
    <t>El 95% de las consultas deben tardar menos de 500 milisegundos.
Menos del 1% de errores y cero errores críticos del servidor.
El sistema debe mantenerse estable durante toda la prueba.</t>
  </si>
  <si>
    <t>CP_48</t>
  </si>
  <si>
    <t>Evitar consultas excesivas en listados con relaciones</t>
  </si>
  <si>
    <t>Verificar que cuando pedimos información relacionada el sistema no haga una consulta a la base de datos por cada registro mostrado. Queremos asegurar que el número de consultas sea siempre el mismo, sin importar cuántos registros mostremos.</t>
  </si>
  <si>
    <t>1. Configurar los logs de la base de datos.
2. Crear datos de pruebas de roles, escuelas y documentos para candidatos.
3. Ejecutar GET /users?include=roles,school&amp;per_page=50&amp;page=1.
4. Ejecutar GET /users?include=roles,school&amp;per_page=50&amp;page=2
5. Ejecutar GET /users?include=roles,school&amp;per_page=100&amp;page=1
6. Ejecutar GET /documents?include=versions,candidate&amp;per_page=50&amp;page=1
7. Ejecutar GET /documents?include=versions,candidate&amp;per_page=50&amp;page=2
8. Ejecutar GET /documents?include=versions,candidate&amp;per_page=100&amp;page=1
9. Analizar los resultados.
10. Prueba de velocidad hacer 10 consultas seguidas a cada endpoint para medir si responden consistentemente rápido.</t>
  </si>
  <si>
    <t>Base de datos con usuarios, roles, escuelas, documentos, versiones y candidatos relacionados entre sí</t>
  </si>
  <si>
    <t>Para usuarios: include=roles,school con per_page de 50 o 100 registros, páginas 1 y 2
Para documentos: include=versions,candidate con per_page de 50 o 100 registros, páginas 1 y 2</t>
  </si>
  <si>
    <t>Una consulta principal más una por cada relación solicitada. Las consultas no deben aumentar cuando mostramos más registros por página o cambiamos de página. 95% de las consultas deben tardar menos de 500 milisegundos, no debe haber errores de servidor ni timeouts. Si las consultas aumentan con el número de registros, la prueba falla y se debe identificar qué modelo o relación está causando el problema</t>
  </si>
  <si>
    <t>CP_49</t>
  </si>
  <si>
    <t>Inicio de sesión con muchos usuarios simultáneos</t>
  </si>
  <si>
    <t>Verificar que el sistema de login funcione bien cuando muchos usuarios intentan iniciar sesión al mismo tiempo. Queremos asegurar que el proceso de autenticación se mantenga rápido y estable bajo carga.</t>
  </si>
  <si>
    <t xml:space="preserve">Lista de usuarios válidos creada específicamente para pruebas
</t>
  </si>
  <si>
    <t>Lista de emails y contraseñas de usuarios de prueba
20 logins por segundo durante 3 minutos, rotando entre diferentes usuarios</t>
  </si>
  <si>
    <t>95% de los logins deben completarse en menos de 800 milisegundos,  no debe haber errores del servidor, solo errores de usuario si corresponde, sin bloqueos inesperados</t>
  </si>
  <si>
    <t>CP_50</t>
  </si>
  <si>
    <t>Tiempo de respuesta del Dashboard (Carga de indicadores)</t>
  </si>
  <si>
    <t>Validar el tiempo de respuesta y estabilidad del endpoint /api/dashboard bajo solicitudes concurrentes, asegurando que los indicadores del panel principal carguen correctamente sin errores ni bloqueos en el servidor.</t>
  </si>
  <si>
    <t>1-Autenticarse con un usuario que posea los permisos read_dashboard.
2-Enviar 30 peticiones simultáneas al endpoint GET /api/dashboard con un token válido.
3-Medir los tiempos de respuesta promedio, máximo y porcentaje de errores.
4-Analizar el rendimiento a través del Summary Report de JMeter.</t>
  </si>
  <si>
    <t>Usuario con permisos read_dashboard autenticado.API disponible y estable.Token generado correctamente.</t>
  </si>
  <si>
    <t>Token Bearer válido.Endpoint: GET /api/dashboard.</t>
  </si>
  <si>
    <t>El 95% de las solicitudes deben completarse en menos de 1 segundo (1000 ms) y sin errores 5xx.</t>
  </si>
  <si>
    <t>CP_51</t>
  </si>
  <si>
    <t>CICLO</t>
  </si>
  <si>
    <t xml:space="preserve"> Creación de un ciclo academico</t>
  </si>
  <si>
    <t>Validar que la creación de un ciclo cumpla con todas las reglas de negocio.</t>
  </si>
  <si>
    <t xml:space="preserve">Nombre vacío o nulo 
Fechas inválidas (inicio &gt; fin) 
Ciclo duplicado (mismo nombre y periodo) 
Estado por defecto = Activo </t>
  </si>
  <si>
    <t>Usuario autenticado con permiso write_semesters</t>
  </si>
  <si>
    <t>JSON con variaciones (nombre vacío, fechas invertidas, duplicado, sin estado)</t>
  </si>
  <si>
    <t>Respuestas 422/409 según validación, o 201 con estado = Activo</t>
  </si>
  <si>
    <t>CP_52</t>
  </si>
  <si>
    <t>Listado de ciclos académicos</t>
  </si>
  <si>
    <t>Validar el paginado y filtros en la lista de ciclos.</t>
  </si>
  <si>
    <t xml:space="preserve">Paginación con filtros de estado 
Listado de ciclos activos </t>
  </si>
  <si>
    <t>Usuario con permiso read_semesters</t>
  </si>
  <si>
    <t>Parámetros: status=1, paginate=15</t>
  </si>
  <si>
    <t>Respuesta 200 con estructura de paginación (data, current_page, per_page, total)</t>
  </si>
  <si>
    <t>CP_53</t>
  </si>
  <si>
    <t>Edición de ciclo académico</t>
  </si>
  <si>
    <t>Validar la actualización de un ciclo existente.</t>
  </si>
  <si>
    <t xml:space="preserve">Actualización exitosa con campos válidos 
Error por campos faltantes </t>
  </si>
  <si>
    <t>Usuario con permiso write_semesters y ciclo existente</t>
  </si>
  <si>
    <t>JSON válido e inválido</t>
  </si>
  <si>
    <t>Respuesta 200 con objeto actualizado o 422 con errores de validación</t>
  </si>
  <si>
    <t>CP_54</t>
  </si>
  <si>
    <t>Eliminación de ciclo académico</t>
  </si>
  <si>
    <t>Validar la eliminación de un ciclo sin dependencias.</t>
  </si>
  <si>
    <t>1. Enviar POST api/semesters sin campo estado.
2. Revisar la respuesta de JSON.
3. Verificar valor por defecto en base de datos.</t>
  </si>
  <si>
    <t>Usuario con permiso write_semesters y ciclo sin carga académica</t>
  </si>
  <si>
    <t>ID válido</t>
  </si>
  <si>
    <t>Respuesta 204 y posterior GET = 404</t>
  </si>
  <si>
    <t>CP_55</t>
  </si>
  <si>
    <t>Permisos de lectura en ciclos</t>
  </si>
  <si>
    <t>Validar restricciones de lectura según rol.</t>
  </si>
  <si>
    <t xml:space="preserve">Usuario sin permiso read_semesters intentando listar ciclos </t>
  </si>
  <si>
    <t>Usuario logueado sin permiso de lectura</t>
  </si>
  <si>
    <t>GET /api/semesters?status=1</t>
  </si>
  <si>
    <t>Respuesta 403 Forbidden</t>
  </si>
  <si>
    <t>CP_56</t>
  </si>
  <si>
    <t>Permisos de creación de ciclos</t>
  </si>
  <si>
    <t>Validar que roles no admin no puedan crear ciclos.</t>
  </si>
  <si>
    <t xml:space="preserve">Usuario sin permiso write_semesters intentando crear ciclo </t>
  </si>
  <si>
    <t>Usuario logueado con rol asistente</t>
  </si>
  <si>
    <t>POST /api/semesters con JSON válido</t>
  </si>
  <si>
    <t>Bloqueo de acceso a la ruta (sin permisos)</t>
  </si>
  <si>
    <t>CP_57</t>
  </si>
  <si>
    <t>ESCUELAS</t>
  </si>
  <si>
    <t>Listado de escuelas por facultad</t>
  </si>
  <si>
    <t>Validar listado de escuelas con director asignado o “Sin asignar”, filtrado por nombre y paginación.</t>
  </si>
  <si>
    <t xml:space="preserve">Login como admin y obtener token
GET /schools/{id}
Verificar 200 OK y estructura JSON
Director activo 
Búsqueda por nombre 
Paginación 
Ordenamiento por columnas </t>
  </si>
  <si>
    <t>Facultad con &gt;=1 escuela, token válido</t>
  </si>
  <si>
    <t>facultyId válido</t>
  </si>
  <si>
    <t>JSON con listado de escuelas, directorName correcto, paginación y ordenamiento correcto</t>
  </si>
  <si>
    <t>CP_58</t>
  </si>
  <si>
    <t>Creación de escuela</t>
  </si>
  <si>
    <t>Editar escuela existente con datos correctos o inválidos.</t>
  </si>
  <si>
    <t xml:space="preserve">Login como admin
PUT /schools/{id} con JSON válido 
PUT con datos faltantes o vacíos → error </t>
  </si>
  <si>
    <t>Obtener token como administrador.
Escuela con autoridad activa</t>
  </si>
  <si>
    <t>201 CREATED o mensaje de error según validación o bloqueo por permisos</t>
  </si>
  <si>
    <t>CP_59</t>
  </si>
  <si>
    <t>Edición de escuela</t>
  </si>
  <si>
    <t>Crea escuela bajo la facultad indicada y una creación exitosa del registro.</t>
  </si>
  <si>
    <t>1. Login.
2.  POST /api/faculties/{facultyId}/schools con JSON válido.
3. Verificar el resultado.</t>
  </si>
  <si>
    <t>Obtener token como administrador.
Facultad existe.</t>
  </si>
  <si>
    <t>id, nombre actualizado</t>
  </si>
  <si>
    <t>200 OK con JSON actualizado o 422 con error de validación</t>
  </si>
  <si>
    <t>CP_60</t>
  </si>
  <si>
    <t>Eliminación de escuela</t>
  </si>
  <si>
    <t>Eliminar escuela, validando dependencias.</t>
  </si>
  <si>
    <t>Login como admin
DELETE /schools/{id} para escuela sin materias → éxito
DELETE escuela con materias → error</t>
  </si>
  <si>
    <t>Obtener token como administrador.
Escuela existente.</t>
  </si>
  <si>
    <t>id de escuela</t>
  </si>
  <si>
    <t>204 No Content si no hay dependencias; mensaje de error si existen dependencias</t>
  </si>
  <si>
    <t>CP_61</t>
  </si>
  <si>
    <t xml:space="preserve">Permisos de acceso </t>
  </si>
  <si>
    <t>Validar que roles sin permisos no puedan leer ni crear escuelas.</t>
  </si>
  <si>
    <t xml:space="preserve">Login con usuario sin permiso
GET /schools/{id} → 403 Forbidden 
Intento de acceso a creación → bloqueo </t>
  </si>
  <si>
    <t>Usuario sin permisos</t>
  </si>
  <si>
    <t>Bloqueo de acceso o respuesta 403 según tipo de prueba</t>
  </si>
  <si>
    <t>CP_62</t>
  </si>
  <si>
    <t>CARGOS</t>
  </si>
  <si>
    <t>Ver detalles de cargo</t>
  </si>
  <si>
    <t>Visualizar el detalle de un cargo (incluye actividades asociadas) y validar consistencia de datos.</t>
  </si>
  <si>
    <t>1) Abrir Cargos.
2) Seleccionar un registro.
3) Clic en Detalles.
4) Verificar que el Nombre y la lista de Actividades coincidan con el registro del listado.</t>
  </si>
  <si>
    <t>Rol Administrador con permiso read_positions; cargo con actividades asociadas.</t>
  </si>
  <si>
    <t>Se muestran los datos del cargo y sus actividades sin inconsistencias; el modal/página de detalle cierra sin errores.</t>
  </si>
  <si>
    <t>CP_63</t>
  </si>
  <si>
    <t>Acceso restringido a Cargos para rol no Administrador</t>
  </si>
  <si>
    <t>Verificar que un usuario sin permisos no pueda acceder/gestionar el módulo Cargos.</t>
  </si>
  <si>
    <t>1) Iniciar sesión con rol ≠ Administrador (p. ej., Candidato/Director).
2) Intentar acceder a Catálogos → Cargos en la UI.
3) (Adicional) Acceder por URL directa a la ruta del módulo.
4) Registrar el comportamiento (oculto/denegado).</t>
  </si>
  <si>
    <t>Usuario con rol sin permiso read_positions/write_positions.</t>
  </si>
  <si>
    <t>Credenciales de usuario no admin.</t>
  </si>
  <si>
    <t>El módulo no es visible en el menú y/o se deniega el acceso (mensaje o redirección), sin exponer datos del catálogo.</t>
  </si>
  <si>
    <t>CP_64</t>
  </si>
  <si>
    <t>TIPOS DE GRUPO</t>
  </si>
  <si>
    <t>Listar tipos de grupos registrados.</t>
  </si>
  <si>
    <t>Verificar en sistema que los tipos de grupoo  registrados en la base de datos, presentan la información en JSON con la esctructura esperada y en caso que no exista ningún dato retornar el arreglo vacío.</t>
  </si>
  <si>
    <t xml:space="preserve">1. Login como Administrador (con permiso de escritura).
2. Guardar token.
3. POST /groupTypes.
4. Validar que se cree y devuelva el objeto creado.
1. Login como Director de escuela (con permiso de lectura).
2. Guardar token (Sanctum se encarga de simularlo).
3. GET /groupTypes.
4. Validar que retorne un array JSON.
</t>
  </si>
  <si>
    <t>Obtener token como administrador o director</t>
  </si>
  <si>
    <t>Se espera que responda con un código 200 OK. El cuerpo será json con los campos de id, name, created_at,  deleted_at y updated_at ordenado por tipo de grupo.</t>
  </si>
  <si>
    <t>CP_65</t>
  </si>
  <si>
    <t xml:space="preserve">Eliminar un tipo de grupo </t>
  </si>
  <si>
    <t>El sistema debe permitir la eliminación de un tipo de grupo existente solo si el usuario cuenta con los permisos necesarios (write_groupsType). Al ejecutar la acción correctamente, el registro debe eliminarse de la base de datos (o marcarse como eliminado si se utiliza soft delete), y la respuesta debe confirmar que la operación se realizó con éxito (200 OK o 204 No Content).</t>
  </si>
  <si>
    <t xml:space="preserve">1.	POST api/auth/login como administrador (usuario con permiso write_groupsType).
2.	Guardar token de autenticación.
3.	Seleccionar el ID del tipo de grupo que se desea eliminar.
•	DELETE /api/groupTypes/{id} con headers:
•	Accept: application/json
•	Authorization: Bearer {token}
4.	Validar la respuesta:
5.	Código esperado: 200 OK
</t>
  </si>
  <si>
    <t>Obtener token como administrador.
tipos de grupo existente.</t>
  </si>
  <si>
    <t>Name: "tipo de grupo actualizado".</t>
  </si>
  <si>
    <t>Se espera que responda con un código 200 OK. Y el json del detalle del objeto actualizacido el nombre y el campo updated_at.</t>
  </si>
  <si>
    <t>CP_66</t>
  </si>
  <si>
    <t>CARGA ACADEMICA</t>
  </si>
  <si>
    <t>Crear carga académica válida</t>
  </si>
  <si>
    <t>Validar que un usuario autorizado pueda registrar una carga académica.</t>
  </si>
  <si>
    <t>1. POST /api/auth/login con usuario director de escuela.
2. Guardar token.
3. POST /academicLoad con datos de carga académica.
4. Validar respuesta 201.
5. GET /academicLoad para verificar existencia del registro.</t>
  </si>
  <si>
    <t>Obtener token como administrador.
Usuario autenticado con permiso write_academicLoad.
No debe existir carga académica con mismo período y escuela.
API y BD disponibles.</t>
  </si>
  <si>
    <t>{periodo: "2025-1", carrera: "Ing. Sistemas"}</t>
  </si>
  <si>
    <t>Se guarda la carga y se espera que devuelva confirmacion con un código 201 OK. Created + objeto creado.</t>
  </si>
  <si>
    <t>CP_67</t>
  </si>
  <si>
    <t>Listar todas las cargas académicas</t>
  </si>
  <si>
    <t>Verificar que un usuario autorizado pueda listar todas las cargas.</t>
  </si>
  <si>
    <t>1. POST /api/auth/login como administrador.
2. Guardar token.
3. GET /academicLoad.
4. Validar que la respuesta JSON contenga registros.</t>
  </si>
  <si>
    <t>Obtener token como administrador.
Usuario con permiso read_academicLoad.
Existen registros de cargas académicas en BD.</t>
  </si>
  <si>
    <t>Devuelve listado completo en JSON.</t>
  </si>
  <si>
    <t>CP_68</t>
  </si>
  <si>
    <t>Consultar cargas por escuela</t>
  </si>
  <si>
    <t>Validar filtrado de cargas por escuela.</t>
  </si>
  <si>
    <t xml:space="preserve">1.	POST /api/auth/login administrador.
2.	 Guardar token.
3.	 GET /academicLoad/all/bySchool.
4.	 Validar que solo aparezcan cargas de la escuela.
</t>
  </si>
  <si>
    <t xml:space="preserve">Obtener token como administrador.
Usuario con permisos read_academicLoad.
Escuela válida.
Cargas existentes asociadas a escuela.
</t>
  </si>
  <si>
    <t>Escuela="Ingeniería"</t>
  </si>
  <si>
    <t>JSON con cargas solo de Ingeniería.</t>
  </si>
  <si>
    <t>CP_69</t>
  </si>
  <si>
    <t>GRUPOS</t>
  </si>
  <si>
    <t>Registrar grupo en carga académica</t>
  </si>
  <si>
    <t>Validar creación de grupo dentro de carga existente.</t>
  </si>
  <si>
    <t xml:space="preserve">1.	POST /api/auth/login director de escuela.
2.	 Guardar token.
3.	 POST /academicLoad/{id}/groups con datos de grupo.
4.	 GET /academicLoad/{id}/groups para verificar registro
</t>
  </si>
  <si>
    <t>Obtener token como director de escuela
Carga académica existente.Usuario con permiso write_groups.
API disponible.</t>
  </si>
  <si>
    <t>{ "codigo":"G1", "seccion":"A" }</t>
  </si>
  <si>
    <t>Grupo creado y visible en GET.</t>
  </si>
  <si>
    <t>CP_70</t>
  </si>
  <si>
    <t>Asignar profesor a grupo</t>
  </si>
  <si>
    <t>Validar asignación de profesor a grupo existente.</t>
  </si>
  <si>
    <t xml:space="preserve">1.	POST /api/auth/login administrador.
2.	Guardar token.
3.	PUT /groups/{id}/professor con ID profesor.
4.	GET /groups/{id} para confirmar asignación.
</t>
  </si>
  <si>
    <t xml:space="preserve">Obtener token como administrador.
Grupo existente.
Profesor registrado.
Usuario con permiso write_groups.
</t>
  </si>
  <si>
    <t>{ "profesor_id":25 }</t>
  </si>
  <si>
    <t>Profesor asignado correctamente.</t>
  </si>
  <si>
    <t>CP_71</t>
  </si>
  <si>
    <t>FORMATOS</t>
  </si>
  <si>
    <t>Listar todos los formatos registrados</t>
  </si>
  <si>
    <t>Verificar que un usuario con rol candidato pueda listar los formatos registrados en la base de datos.</t>
  </si>
  <si>
    <t xml:space="preserve">1.	POST /api/auth/login como candidato.
2.	Guardar token.
3.	GET /formats.
4.	Validar que se retorne un array JSON con los registros.
</t>
  </si>
  <si>
    <t xml:space="preserve">Obtener token como candidato.
Debe haber al menos un formato en la tabla de base de datos.
</t>
  </si>
  <si>
    <t>Responde con 200 OK.El JSON contiene id, name, created_at, updated_at.</t>
  </si>
  <si>
    <t>CP_72</t>
  </si>
  <si>
    <t xml:space="preserve">Consultar formato por ID </t>
  </si>
  <si>
    <t>Validar que un usuario con rol candidato pueda consultar un formato existente mediante su identificador.</t>
  </si>
  <si>
    <t xml:space="preserve">1.	POST /api/auth/login como candidato.
2.	Guardar token.
3.	GET /formats/{id} con un ID válido.
4.	Validar respuesta del sistema.
</t>
  </si>
  <si>
    <t xml:space="preserve">Obtener token como candidato.
Debe existir un registro con ese ID en la BD.
</t>
  </si>
  <si>
    <t xml:space="preserve">ID = 1 </t>
  </si>
  <si>
    <t xml:space="preserve">Responde con 200 OK.
El JSON contiene los datos completos del formato consultado.
</t>
  </si>
  <si>
    <t>CP_73</t>
  </si>
  <si>
    <t>Descargar plantilla de materias en Excel</t>
  </si>
  <si>
    <t>Validar que el candidato pueda descargar correctamente la plantilla de materias en formato Excel.</t>
  </si>
  <si>
    <t xml:space="preserve">1.	POST /api/auth/login como candidato.
2.	Guardar token
1.	.3. GET /formats/excel/download.
3.	Validar que se descargue un archivo con extensión .xlsx.
</t>
  </si>
  <si>
    <t xml:space="preserve">Obtener token como candidato. 
Servicio de exportación habilitado.
</t>
  </si>
  <si>
    <t>Se descarga archivo Excel con nombre plantilla_materias.xlsx con estructura válida de materias.</t>
  </si>
  <si>
    <t>CP_74</t>
  </si>
  <si>
    <t>BANCOS</t>
  </si>
  <si>
    <t>Listar bancos registrados.</t>
  </si>
  <si>
    <t>Verificar que el sistema devuelva el catálogo de bancos registrados en la base de datos, presentando la información en JSON con la esctructura esperada y en caso que no exista ningún dato retornar el arreglo vacío.</t>
  </si>
  <si>
    <t>1. POST api/auth/login como administrador.
2. Guardar token.
3. GET api/banks?.
4. Validar que nos retorna un array ordenado por nombre de banco.</t>
  </si>
  <si>
    <t>Obtener token como administrador.</t>
  </si>
  <si>
    <t>Se espera que responda con un código 200 OK. El cuerpo será json con los campos de id, name, created_at,  deleted_at y updated_at ordenado por nombre de banco.</t>
  </si>
  <si>
    <t>CP_75</t>
  </si>
  <si>
    <t>Crear registro de banco válido.</t>
  </si>
  <si>
    <t>Creación de registro de banco enviando como parametro el nombre del banco a registrar.</t>
  </si>
  <si>
    <t>1. POST api/auth/login como administrador.
2. Guardar token.
3. POST /api/banks y con Accept:application/json, Content-Type:application/json, Authorization:Bearer.
4. Adición de parametro name.
5. Validar la creación y el llenado correcto de los datos.</t>
  </si>
  <si>
    <t>Name: "Cooperativa Constelación".</t>
  </si>
  <si>
    <t>Se espera que responda con un código 201 CREATED. Y retorna el formato JSON los campos id, name,  created_at y updated_at con la fecha de creación. El campo de deleted_at se registra null.</t>
  </si>
  <si>
    <t>CP_76</t>
  </si>
  <si>
    <t>Actualizar nombre de banco registrado</t>
  </si>
  <si>
    <t>Actualizar el nombre de un banco que se encuentra registrado y que cumpla con los requisitos de no duplicidad y menor a 200 caracteres.</t>
  </si>
  <si>
    <t>1.POST api/auth/login como administrador.
2. Guardar token.
3. PUT /api/banks/{id} con {"name":"Banco actualizado"}-
4. Validación de respuesta.</t>
  </si>
  <si>
    <t>Obtener token como administrador.
Registro de banco existente.</t>
  </si>
  <si>
    <t>Name: "Banco Actualizado".</t>
  </si>
  <si>
    <t>CP_77</t>
  </si>
  <si>
    <t xml:space="preserve">Eliminar banco sin dependencias </t>
  </si>
  <si>
    <t>Al eliminar un registro de banco ingresado y este no tenga relación con ningún candidato.</t>
  </si>
  <si>
    <t>1.POST api/auth/login como administrador.
2. Guardar token.
3. Verificar en base de datos de bank con person que no tenga relaciones activas.
4. DELETE /api/banks/{id} 
5. GET por /api/banks/{id}</t>
  </si>
  <si>
    <t>Obtener token como administrador.
Registro de banco existente.
Registro banco no tiene relaciones activas con Person</t>
  </si>
  <si>
    <t>Se espera responda con un código 204 No Content. Y en la  validación de GET debe retornar un código 404 NOT FOUND. El registro se elimina.</t>
  </si>
  <si>
    <t>CP_78</t>
  </si>
  <si>
    <t>Permisos de lectura para rol diferente a administrador en Bancos</t>
  </si>
  <si>
    <t>Verificar que otros roles diferentes a administrador no tenga permiso de lectura a la información de bancos.</t>
  </si>
  <si>
    <t>1. POST api/auth/login con un rol diferente a administrador.
2. GET /api/banks</t>
  </si>
  <si>
    <t>Obtención de token de un rol sin permiso a Bancos</t>
  </si>
  <si>
    <t>Responde con un código 403 Forbbiden (middleware can:read_banks).</t>
  </si>
  <si>
    <t>CP_79</t>
  </si>
  <si>
    <t>EMPLEADOS</t>
  </si>
  <si>
    <t>Crear empleado duplicado</t>
  </si>
  <si>
    <t>Negocio</t>
  </si>
  <si>
    <t>Validar que el sistema no permita crear un segundo registro de empleado para la misma persona. Ante un reintento del endpoint POST /employees/me con usuario que ya es empleado no debe registrar nuevos registros ni duplicar relaciones/pivotes ni bitácora.</t>
  </si>
  <si>
    <t>1. Autenticarse y obtener token válido con permisos de escritura a empleados y con persona existente.
2. Ejecutar POST /employees/me con datos válidos.
3. Sin cambiar de usuario, repetir POST /employees/me con la misma información.
4. Verificar el resultado obtenido.</t>
  </si>
  <si>
    <t>Usuario autenticado con token válido.
El usuario tiene person asociada.
Catálogos existentes y válidos de facultad, escalafón y tipo de contrato.</t>
  </si>
  <si>
    <t>"journey_type": "tiempo-completo",
"faculty_id": 2,
"escalafon_id": 3,
"employee_types": [1, 4],
"partida": "P-001",
"sub_partida": "SP-01"</t>
  </si>
  <si>
    <t>Para la primera ejecución debe retornar código 201 CREATED con objeto Employee. Para el segundo intento debe retornar 422 Unprocessable Entity con mensaje: "El usuario ya se registro como empleado", no permite ingreso de duplicados, sin nueva entrada al segundo intento.</t>
  </si>
  <si>
    <t>CP_80</t>
  </si>
  <si>
    <t>Privacidad en la exposición de datos en listados de empleados</t>
  </si>
  <si>
    <t>Verificar que los endpoints de listado no expongan datos sensibles en texto claro (DUI, NIT, teléfono, pasaporte, NUP/ISSS, cuenta bancaria, tokens). Los campos sensibles deben venir enmascarados o no incluidos en el JSON.</t>
  </si>
  <si>
    <t>1. Autenticarse con un usuario con permiso de lectura candidatos/personas.
2. Ejecutar GET /persons.
3. Ejecutar GET /candidates/all con y sin filtros.
4. Revisar cada respuesta JSON y comprobar presencia/ausencia de: dui, nit, telephone/phone, passport_number, isss, nup, bank_*, tokens.
5. Validar que, si se muestran, estén enmascarados (por ejemplo dui_masked, phone_masked) y que no existan los valores crudos.</t>
  </si>
  <si>
    <t>Usuario autenticado con permisos de lectura.
Existencia de registros de Personas/Candidatos para que los listados devuelvan datos.</t>
  </si>
  <si>
    <t>Headers: Authorization: Bearer &lt;token&gt;
Query params: search=ana, hiringType=SPNP, hiringType=RP.</t>
  </si>
  <si>
    <t>Se espera que retorne código 200 - OK, el JSON no deben contener valores crudos de campos sensibles ni tokens.</t>
  </si>
  <si>
    <t>CP_81</t>
  </si>
  <si>
    <t>ACTIVIDADES DE DOCENTES</t>
  </si>
  <si>
    <t>Listar actividades (API) con permisos</t>
  </si>
  <si>
    <t>Obtener el listado de actividades usando el recurso correcto /api/activities.</t>
  </si>
  <si>
    <t>1. POST /api/auth/login con usuario con read_activities.
2. Guardar token.
3. GET /api/activities con headers Accept: application/json, Authorization: Bearer {token}.</t>
  </si>
  <si>
    <t>Usuario válido con permiso read_activities.</t>
  </si>
  <si>
    <t>token válido</t>
  </si>
  <si>
    <t>200 OK y arreglo JSON de actividades.</t>
  </si>
  <si>
    <t>CP_82</t>
  </si>
  <si>
    <t>Crear actividad duplicada (API)</t>
  </si>
  <si>
    <t>Intentar crear una actividad con descripción ya existente.</t>
  </si>
  <si>
    <t>1. Login con write_activities.
2. POST /api/activities con descripción existente.
3. Observar respuesta.</t>
  </si>
  <si>
    <t>Existe una actividad previa con misma description.</t>
  </si>
  <si>
    <t>token; { "description": "Tutoría" }</t>
  </si>
  <si>
    <t>422 Unprocessable Entity (o error de validación). No se crea duplicado.</t>
  </si>
  <si>
    <t>CP_83</t>
  </si>
  <si>
    <t>Editar actividad (API) con permisos</t>
  </si>
  <si>
    <t>Actualizar la descripción de una actividad con el endpoint correcto.</t>
  </si>
  <si>
    <t>1. Login con write_activities (token).
2. PUT /api/activities/{id} con { "description": "Tutoría (8 h/sem)" }.
3. GET /api/activities/{id} para validar el cambio.</t>
  </si>
  <si>
    <t>Permiso write_activities; actividad {id} existente.</t>
  </si>
  <si>
    <t>token; id; body</t>
  </si>
  <si>
    <t>200 OK y campo actualizado.</t>
  </si>
  <si>
    <t>CP_84</t>
  </si>
  <si>
    <t>FACULTADES</t>
  </si>
  <si>
    <t>Crear facultad (API) con permisos</t>
  </si>
  <si>
    <t>Crear una facultad vía API usando el recurso correcto /api/faculties.</t>
  </si>
  <si>
    <t>1. POST /api/auth/login como usuario con write_faculties.
2. Guardar token.
3. POST /api/faculties con headers Accept: application/json, Authorization: Bearer {token} y body JSON { "name": "Facultad de Ciencias" }.
4. (Verificación) GET /api/faculties para confirmar que aparece.</t>
  </si>
  <si>
    <t>Usuario válido con permiso write_faculties.</t>
  </si>
  <si>
    <t>token; body { "name": "Facultad de Ciencias" }</t>
  </si>
  <si>
    <t>201 Created (o 200 OK según implementación) y registro persistido en listado.</t>
  </si>
  <si>
    <t>CP_85</t>
  </si>
  <si>
    <t>Eliminar facultad sin permisos (API)</t>
  </si>
  <si>
    <t>Intentar eliminar una facultad sin el permiso write_faculties. Debe rechazarse.</t>
  </si>
  <si>
    <t>1. POST /api/auth/login como usuario sin write_faculties.
2. Guardar token.
3. DELETE /api/faculties/{id} con headers Accept: application/json, Authorization: Bearer {token}.
4. (Opcional) GET /api/faculties/{id} para confirmar que existe.</t>
  </si>
  <si>
    <t>Usuario válido sin write_faculties; existe facultad {id}.</t>
  </si>
  <si>
    <t>token; id de facultad</t>
  </si>
  <si>
    <t>403 Forbidden. El registro no se elimina ni modifica.</t>
  </si>
  <si>
    <t>CP_86</t>
  </si>
  <si>
    <t>Editar facultad (API) con permisos</t>
  </si>
  <si>
    <t>Actualizar el nombre de una facultad usando /api/faculties/{id}.</t>
  </si>
  <si>
    <t>1. Login con usuario con write_faculties; guardar token.
2. PUT /api/faculties/{id} con headers y body { "name": "Facultad de Ciencias (FCE)" }.
3. (Verificación) GET /api/faculties/{id} para validar el nuevo nombre.</t>
  </si>
  <si>
    <t>Usuario con write_faculties; existe facultad {id}.</t>
  </si>
  <si>
    <t>token; id; body { "name": "Facultad de Ciencias (FCE)" }</t>
  </si>
  <si>
    <t>200 OK y el campo name actualizado.</t>
  </si>
  <si>
    <t>CP_87</t>
  </si>
  <si>
    <t>Listar facultades (API) con permisos</t>
  </si>
  <si>
    <t>Obtener el listado usando el recurso correcto /api/faculties.</t>
  </si>
  <si>
    <t>1. Login con usuario con read_faculties; token.
2. GET /api/faculties con headers Accept y Authorization.</t>
  </si>
  <si>
    <t>Usuario con read_faculties.</t>
  </si>
  <si>
    <t>token</t>
  </si>
  <si>
    <t>200 OK y arreglo JSON con facultades.</t>
  </si>
  <si>
    <t>CP_88</t>
  </si>
  <si>
    <t>Crear facultad duplicada (API)</t>
  </si>
  <si>
    <t>Intentar crear una facultad con nombre ya existente.</t>
  </si>
  <si>
    <t>1. Login con write_faculties; token.
2. POST /api/faculties con name ya registrado.
3. Observar respuesta.</t>
  </si>
  <si>
    <t>Existe una facultad previa con el mismo name.</t>
  </si>
  <si>
    <t>422 Unprocessable Entity (o error de validación equivalente) y no se crea un duplicado.</t>
  </si>
  <si>
    <t>CP_89</t>
  </si>
  <si>
    <t>REVISION DE DOCUMENTOS</t>
  </si>
  <si>
    <t>Listar documentos por estado y candidato</t>
  </si>
  <si>
    <t>Obtener documentos con filtros de status y candidate_id, con paginación consistente y estructura JSON válida. Validar que todos los ítems cumplen los filtros y que los metadatos de paginación son coherentes con el tamaño de la colección.</t>
  </si>
  <si>
    <t>1. Autenticarse como RRHH con permisos de lectura.
2. Enviar GET a /documents/review?status=PENDIENTE&amp;candidate_id=&lt;ID&gt;&amp;page=1&amp;per_page=50.
3. Verificar el resultado obtenido.
4. Validar filtro por estado: cada elemento del arreglo tiene status == "PENDIENTE".
5. Validar filtro por candidato: cada elemento tiene candidate_id == &lt;ID&gt;.
6. Validar la paginación.
7. Validación de estructura minima de cada item: id, candidate_id, status, type, reviewer_id, observation, version.</t>
  </si>
  <si>
    <t>Autenticarse como usuario RRHH.
Existen documentos en varios estados.</t>
  </si>
  <si>
    <t>status=PENDIENTE
candidate_id=&lt;ID&gt;
page=1
per_page=50</t>
  </si>
  <si>
    <t>Se espera que retorne código 200 OK con data filtrada (todos status=PENDIENTE y candidate_id=&lt;ID&gt;) y meta de paginación consistente; estructura JSON válida y estable.</t>
  </si>
  <si>
    <t>CP_90</t>
  </si>
  <si>
    <t>Aprobar documento de candidato</t>
  </si>
  <si>
    <t>Cambiar estado de un documento PENDIENTE a APROBADO mediante PATCH con observación opcional. Verificar respuesta HTTP, cuerpo JSON, persistencia, salida de la bandeja de “Pendientes”, y registro en Bitácora/Worklog.</t>
  </si>
  <si>
    <t xml:space="preserve">1. Autenticarse como RRHH con permisos de revisión.
2. Localizar documento PENDIENTE del candidato: GET /documents/review? status=PENDIENTE&amp;candidate_id=&lt;ID&gt;&amp;page=1 y tomar document_id
3. Aprobar el documento: PATCH /documents/{document_id}/review.
4. Verificar el resultado obtenido.
5. Confirmar persistencia de datos.
6. Verificar ingreso en bitácora.
7. Desde la vista de empleado GET de sus documentos muestra el elemento en APROBADO y la observación asociada </t>
  </si>
  <si>
    <t>Autenticarse como usuario RRHH.
Existen documentos en estado pendiente.</t>
  </si>
  <si>
    <t>status=APROBADO; 
observation='OK'</t>
  </si>
  <si>
    <t>Se espera que retorne código 200 OK, el documento pasa a APROBADO y queda fuera de la bandeja de PENDIENTE; se registra auditoría con usuario y timestamp; la observación queda asociada.</t>
  </si>
  <si>
    <t>CP_91</t>
  </si>
  <si>
    <t>Validación de permisos sobre verificación de documentos</t>
  </si>
  <si>
    <t>Usuarios sin rol RRHH. no pueden revisar/actualizar estados de documentos. Debe responder 403 Forbidden y no producir efectos en BD ni Worklog.</t>
  </si>
  <si>
    <t>1. Obtener token como usuario de candidato.
2. Localizar document_id PENDIENTE del candidato
3. Enviar PATCH /documents/{document_id}/review con TOKEN_CAND y con los datos correctos.
4. Intentar GET /documents/review?status=PENDIENTE con TOKEN_CAND.
5. Validar que no existan cambios en los registros.</t>
  </si>
  <si>
    <t>Políticas/middlewares configurados
Existe documento PENDIENTE
Endpoints de revisión protegidos por rol.</t>
  </si>
  <si>
    <t>status=APROBADO;
document_id=&lt;ID&gt;
token de candidato</t>
  </si>
  <si>
    <t>Se espera que retorne código 403 Forbidden en mutaciones para tokens sin permiso y sin cambios en el documento ni en auditoría.</t>
  </si>
  <si>
    <t>CP_92</t>
  </si>
  <si>
    <t>Ver validaciones de documentos por candidato</t>
  </si>
  <si>
    <t>Usuario con rol RRHH accede al listado de Candidatos registrados, busca un candidato y abre su vista de Validaciones. Desde allí visualiza la lista de documentos del candidato con su estado actual y puede abrir el preview/descarga de un documento PENDIENTE.</t>
  </si>
  <si>
    <t>1. Iniciar sesión como RRHH.
2. Ir a "Candidatos Registrados".
3. Usar el buscador para localizar usuario por nombre.
4. Clic en "Validaciones" del candidato buscado.
5. En la vista verificar que se listan los documentos con su estado PENDIENTE o VALIDADO.
6. Seleccionar un documento en estado pendiente y visualizar su preview.
7. Confirmar que el visor responda y muestra el archivo correcto.</t>
  </si>
  <si>
    <t>Usuario con rol de RRHH
Candidato con documentos en estado Pendiente.</t>
  </si>
  <si>
    <t>Búsqueda de candidato por nombre</t>
  </si>
  <si>
    <t>La vista de validaciones del candidato lista correctamente sus documentos con estado actual, al abrir un documento PENDIENTE se obtiene 200 OK y se visualiza una muestra del documento funcional.</t>
  </si>
  <si>
    <t>CP_93</t>
  </si>
  <si>
    <t>Usuario con rol RRHH aprueba un documento PENDIENTE del candidato. Se valida preview, acción de Aprobar con observación opcional, respuesta de API, actualización inmediata de la UI, salida del documento de “Pendientes” y registro en Bitácora/Worklog.</t>
  </si>
  <si>
    <t>1. Iniciar sesión como RRHH.
2. Ir a "Candidatos Registrados".
3. Usar el buscador para localizar usuario por nombre.
4. Clic en "Validaciones" del candidato buscado
5. Seleccionar uno de los documentos.
6. Revisar preview.
7. Seleccionar “Aprobar”.
8. Confirmar el documento cargado.
9. Validar cambio en UI (estado=APROBADO) y registro en bitácora.</t>
  </si>
  <si>
    <t>Responde con un çodigo 200 OK, la interfaz refleja APROBADO, el documento ya no aparece en "PENDIENTES", en bitácora se registra la acción con usuario, la fecha y el nivel de criticidad; al recargar la vista, el estado persiste y el preview sigue disponible.</t>
  </si>
  <si>
    <t>CP_94</t>
  </si>
  <si>
    <t>Rechazar documento con observación obligatoria</t>
  </si>
  <si>
    <t>Usuario con rol RRHH rechaza un documento PENDIENTE indicando el motivo obligatorio. Se valida preview, envío de la acción con observación, respuesta de API, reflejo inmediato en la UI, visibilidad del comentario para el candidato y registro en Bitácora/Worklog.</t>
  </si>
  <si>
    <t>1. Iniciar sesión como RRHH.
2. Ir a "Candidatos Registrados".
3. Usar el buscador para localizar usuario por nombre.
4. Clic en "Validaciones" del candidato buscado
5. Seleccionar uno de los documentos.
6. Revisar preview.
7. Seleccionar “Rechazar”.
8. Ingresar observación obligatoria.
9. Confirmar el cambio de PENDIENTE a RECHAZADO junto con la observación.
10. Envío de correo electrónico detallando el error identificado.
11. Verificar la bitácora y vista del candidato.</t>
  </si>
  <si>
    <t>Búsqueda de candidato por nombre
Rechazar documento
Ingresar observación</t>
  </si>
  <si>
    <t>Se retorna un çodigo 200 OK, la interfaz refleja RECHAZADO y retira el ítem de Pendientes; la observación queda persistida y visible para el candidato; Bitácora registra la acción con usuario y fecha, al recargar el estado y el comentario se mantienen, se realice envio de notificación al correo del usuario candidato revisado.</t>
  </si>
  <si>
    <t>CP_95</t>
  </si>
  <si>
    <t>Solicitar reenvío/corrección</t>
  </si>
  <si>
    <t>Usuario con rol RRHH marca un documento de pendiente a requiere_correccion con observación, el sistema envia correo al candidato.El candidato vuelve a subir el archivo corregido y el documento queda PENDIENTE para nueva revisión.</t>
  </si>
  <si>
    <t>1. Iniciar sesión como candidato.
2. Abrir documento que se encuentra en estado de Pendiente.
3. Indicar observación y cargar nuevo documento.
4. Confirmar la carga de los documentos.
5. Volver RRHH y verificar estado de Pendiente de la nueva versión.</t>
  </si>
  <si>
    <t>Usuario con rol de RRHH.
Usuario con rol de candidato.
Candidato con documentos en estado Pendiente.</t>
  </si>
  <si>
    <t>status=REQUIERE_CORRECCIÓN
observation='Falta sello'
nueva_versión=archivo.pdf</t>
  </si>
  <si>
    <t>Transición de requiere_correccion con código 200 OK, se envía correo al candidato con el mensaje y observación. El candidato sube nueva versión, el documento queda PENDIENTE y el preview muestra el archivo corregido. En la vista de RRHH el documento aparece nuevamente en pendientes del candidato con el archivo actualizado. El archivo anterior queda reemplazado no se conserva historial.</t>
  </si>
  <si>
    <t>CP_96</t>
  </si>
  <si>
    <t>Contador de intentos fallidos y lockout (intentos incorrectos de inicio de sesión)</t>
  </si>
  <si>
    <t>Verificar que el sistema cuenta los intentos de login fallidos por usuario y que bloquea el acceso cuando se alcanza el umbral de 3 dentro de una ventana de tiempo.</t>
  </si>
  <si>
    <t>1. Ingreso de contraseña invalida no bloquea y el contador aumenta en 1.
2. Ingreso segunda vez de contraseña inválida no bloquea y el contador aumenta en 2.
3. Ingreso de segunda vez de contraseña inválida y bloque el contador llega a 3 veces con contraseña incorrecta.
4. Se bloquea el usuario pasado los 3 intentos erroneos.</t>
  </si>
  <si>
    <t>Contabilizador de ingresos erroneos por correo electrónico.</t>
  </si>
  <si>
    <t>Usuario: edwin.vladimir@ues.edu.sv
Contraseña: contra12345</t>
  </si>
  <si>
    <t>Antes del umbral no existe bloqueo.
Al llegar a los tres intentos el usuario queda bloqueado.
Un éxito antes del bloqueo del usuario resetea el conteo.</t>
  </si>
  <si>
    <t>Sí</t>
  </si>
  <si>
    <t>CP_97</t>
  </si>
  <si>
    <t>Acceso no autorizado a datos de otro usuario</t>
  </si>
  <si>
    <t>Comprobar que no se puede ver la información de otra persona solo por cambiar el id en la ruta. Si un usuario intenta leer el perfil de otro, el sistema debe negar el acceso.</t>
  </si>
  <si>
    <t>1. Iniciar sesión como rol de candidato A.
2. Identificar el id de otro usuario candidato B.
3. Ejecutar GET /persons/{idB} usando el token de candidato A.
4. Debe negar el acceso,
5. Ejecutar GET /persons/me con el token de candidato A.</t>
  </si>
  <si>
    <t>Existencia de candidato A y B.
Las rutas de usaurio estan protegidas con permisos/policies</t>
  </si>
  <si>
    <t>Token de candidato A.
id del candidato B.
endpoint: /users/{idB}</t>
  </si>
  <si>
    <t>Se espera que responde con código 403 Forbidden no se devuelve ningun dato del candidato B. No debe contener ningun dato del usuario ajeno y deben mostrarse los headers de seguridad (X-Content-Type-Options))</t>
  </si>
  <si>
    <t>CP_98</t>
  </si>
  <si>
    <t>Acceso no autorizado a editar recurso ajeno</t>
  </si>
  <si>
    <t>Asegurar que un usuario no pueda editar a otra persona solo por cambiar el id en la URL. Si intenta hacerlo, el sistema debe negarlo y no guardar ningún cambio.</t>
  </si>
  <si>
    <t>1. Iniciar sesión como rol de candidato A.
2. Identificar el id de otro usuario candidato B.
3. Ejecutar PUT /persons/{idB} usando el token de candidato A.
4. Debe negar la operación,
5. Ejecutar GET /persons/{idB} para revisar que no exista ningún cambio.</t>
  </si>
  <si>
    <t>RBAC activo
Existencia de usuario Candidato A y B</t>
  </si>
  <si>
    <t>Se espera que responda con código 403 Forbidden al intentar editar candidato B.  No se modifica ningun dato del candidato B. Se muestra mensaje claro de usuario sin permisos.</t>
  </si>
  <si>
    <t>CP_99</t>
  </si>
  <si>
    <t>XSS almacenado en campos de texto</t>
  </si>
  <si>
    <t>Guardar un texto malicioso y comprobar que la app no se ejecuta ningún script, el contenido debe escaparse y verse como texto normal.</t>
  </si>
  <si>
    <t>1. Iniciar sesión como Director y dirigirse a una pantalla que guarde y muestre comentarios/notas.
2. Ejecutar POST para crear o editar el comentario con el texto malicioso.
3. Abrir la pantalla donde se renderiza el comentario.
4. Verificar que se ve como texto y que no hay ventanas emergentes ni comportamientos inesperados.
5. Revisar la consola del navegador, no deben aparecer alertas ni errores de ejecución relacionados.</t>
  </si>
  <si>
    <t xml:space="preserve">Existe un campo de texto persistente que luego se muestra en la UI
Usuario como Director.
</t>
  </si>
  <si>
    <t>comentario = "&lt;img src=x onerror=alert(1)&gt;"
"&lt;script&gt;alert(1)&lt;/script&gt;"
"&lt;svg onload=alert(1)&gt;"
"&lt;a href=javascript:alert(1)&gt;click&lt;/a&gt;"</t>
  </si>
  <si>
    <t>No se ejecuta ninguna alerta ni se ejecuta código.
El contenido se muestra escapado/sanitizado
La pantalla no se rompe y el resto funciona con normalidad.
En todas las vistas donde aparece el texto el comportamiento es igual de seguro.</t>
  </si>
  <si>
    <t>CP_101</t>
  </si>
  <si>
    <t>CORS restrictivo</t>
  </si>
  <si>
    <t>Asegurar que solo los dominios permitidos puedan hacer peticiones a la API. Si el origen no está permitido, el navegador debe bloquear la petición</t>
  </si>
  <si>
    <t>1. Preflight desde origen no permitido: enviar OPTIONS a un endpoint simulando navegador con:
 1.1 Origin: https://otro_entorno.local
 1.2 Access-Control-Request-Method: GET
 1.3 Access-Control-Request-Headers: Authorization.
2. Request real desde origen no permitido: enviar GET /users con:
 2.1 Origin: https://otro_entorno.local
 2.2 Authorization: Bearer.
3. Preflight desde origen permitido: repetir el OPTIONS con:
  3.1 Origin: https://app.tu-dominio.com</t>
  </si>
  <si>
    <t>CORS configurado con lista de orígenes permitidos
Endpoint disponible.</t>
  </si>
  <si>
    <t>Origen no permitido: https://otro_entorno.local</t>
  </si>
  <si>
    <t>Origen no permitido:
Preflight responde sin Access-Control-Allow-Origin y el navegador bloquea.
Request real no obtiene CORS válido ; jamás Access-Control-Allow-Origin: * junto a Authorization/credenciales.</t>
  </si>
  <si>
    <t>CP_102</t>
  </si>
  <si>
    <t>Cabeceras de seguridad</t>
  </si>
  <si>
    <t>Comprobar que el servidor envía cabeceras de seguridad en las páginas y APIs clave, para reducir riesgos como XSS, clickjacking y contenido mixto</t>
  </si>
  <si>
    <t>1. Hacer GET a la página principal.
2. Hacer GET a un endpoint API.
3. Hacer GET a una ruta de descarga o recurso estático.
4. Revisar las cabeceras de respuesta y anotar valores.
5. Abrir la página en el navegador y verificar que no se cargan recursos en HTTP</t>
  </si>
  <si>
    <t>El reverse proxy/servidor está configurado para añadir cabeceras.
La app sirve HTML, API JSON y, si aplica, descargas/estáticos.</t>
  </si>
  <si>
    <t>Content-Security-Policy (CSP) presente y restrictiva.
X-Frame-Options.
X-Content-Type-Options
Referrer-Policy
Strict-Transport-Security (HSTS) en HTTPS
Sin contenido mixto: la página y sus recursos cargan solo por HTTPS; la consola del navegador no muestra alertas de “mixed content”.
las mismas cabeceras aparecen en HTML, API y descargas; no hay valores vacíos ni peligrosos</t>
  </si>
  <si>
    <t>CP_103</t>
  </si>
  <si>
    <t>Verificación de transporte seguro de credenciales</t>
  </si>
  <si>
    <t>Validar que el sistema envíe las credenciales de usuario (usuario y contraseña) únicamente bajo un canal cifrado seguro (HTTPS/TLS), evitando que se transmitan en texto plano.</t>
  </si>
  <si>
    <t>1. Acceder al sistema desde el cliente web en la pantalla de inicio de sesión.
2. Capturar el tráfico de red.
3. Ingresar usuario y contraseña válidos.
4. Observar el protocolo de transmisión en la petición de login.
5. Intentar acceder usando HTTP en lugar de HTTPS.
6. Validar que el sistema redirige automáticamente a HTTPS o bloquea la conexión insegura.</t>
  </si>
  <si>
    <t>Herramienta de monitoreo de tráfico instalada.
El servidor debe estar configurado con certificado SSL/TLS válido.</t>
  </si>
  <si>
    <t>usuario: sa1600@ues.edu.sv
password: contraseña</t>
  </si>
  <si>
    <t>La petición de autenticación se realiza únicamente vía HTTPS (TLS 1.2 o superior).
Los parámetros sensibles (usuario, contraseña, token) no son visibles en texto plano.
El intento de conexión por HTTP es bloqueado o redirigido automáticamente a HTTPS.</t>
  </si>
  <si>
    <t>CP_104</t>
  </si>
  <si>
    <t>Intento de inicio de sesión con credenciales predeterminadas, débiles o en blanco</t>
  </si>
  <si>
    <t>Intentar autenticarse usando credenciales comunes, predeterminadas o vacías y verificar que el sistema no acepte esas credenciales, que aplique políticas.</t>
  </si>
  <si>
    <t>1. Enviar POST a /api/login con body { "username": "admin", "password": "admin" }.
2. Observar código HTTP y respuesta JSON.
3. Repetir para todos los pares del CSV.
4. Registrar respuesta, encabezados relevantes y body.</t>
  </si>
  <si>
    <t>Politica de bloqueo y complejidad de contraseñas.</t>
  </si>
  <si>
    <t>archivo csv con datos de usuarios de pruebas.</t>
  </si>
  <si>
    <t xml:space="preserve">Rechazo de autenticación con credenciales predeterminadas/débiles/en blanco: código 401.
No se debe permitir autenticación con contraseñas vacías.
No exponer stack traces, errores técnicos ni información sobre la existencia de cuentas.
</t>
  </si>
  <si>
    <t>CP_105</t>
  </si>
  <si>
    <t>Detección de enumeración de cuentas</t>
  </si>
  <si>
    <t>Probar diferentes combinaciones y flujos para verificar si las respuestas del sistema permiten inferir si un nombre de usuario existe en el sistema. El objetivo es asegurarse de que no se filtre información sobre la existencia de cuentas.</t>
  </si>
  <si>
    <t>1. POST /api/login con {username: existente, password: password}
2. POST /api/login con {username: inexistente, password: malicioso}
3. GET/POST a endpoints públicos que puedan filtrar por usuario verificar autorización y exposición.
4. Medir tiempos de respuesta para detectar diferencias de timing que permitan inferir existencia.</t>
  </si>
  <si>
    <t>Lista de usuarios de prueba</t>
  </si>
  <si>
    <t xml:space="preserve">Mensajes idénticos para “usuario inexistente” y “contraseña incorrecta”.
Se obtiene código 401 generico para ambos casos.
</t>
  </si>
  <si>
    <t>CP_106</t>
  </si>
  <si>
    <t>Validar seguridad de “Recordarme” y persistencia de sesión</t>
  </si>
  <si>
    <t>Verificar que la opción “Recordarme” (sesión persistente) mantenga al usuario autenticado sin comprometer cookies ni tokens. Se valida configuración de cookies/tokens</t>
  </si>
  <si>
    <t>1. Ingresar a la pantalla de login.
2. Completar usuario/contraseña y marcar “Recordarme”.
3. Iniciar sesión y confirmar acceso a dashboard.
4. Identificar cookies de sesión/persistencia
5. Cerrar el navegador, volver a abrir e ingresar al sitio.
6. Realizar logout desde el sitio.
7. Verificar que cookies/tokens persistentes se eliminen o invaliden
8. Intentar ingresar a un sitio seguro sin login.</t>
  </si>
  <si>
    <t>Usuario de prueva válido.</t>
  </si>
  <si>
    <t xml:space="preserve">Cookie(s) esperadas: sessionid (persistente si “Recordarme”), eventual cookie de “remember”. Secure=true, HttpOnly=true, SameSite=Lax|Strict. Rotación de sessionid post-login. Expiración acorde a política.
Invalidación completa en logout
</t>
  </si>
  <si>
    <t>No</t>
  </si>
  <si>
    <t>CP_107</t>
  </si>
  <si>
    <t>USABILIDAD</t>
  </si>
  <si>
    <t>Compatibilidad: de navegadores</t>
  </si>
  <si>
    <t>Compatibilidad</t>
  </si>
  <si>
    <t>Validar que la UI funcione y se renderice correctamente en los navegadores soportados (Chrome, Firefox y Edge) sin errores visuales ni funcionales en los flujos críticos de contratación Se evalúan: renderizado CSS, comportamiento de formularios y máscaras (DUI/NIT), date/time pickers, subida de archivos, tablas (filtro/orden/paginación), modales/toasts, navegación (adelante/atrás), descargas, sesión/cookies/localStorage, responsive (ancho 360/768/1024/1280), y ausencia de errores en la consola.</t>
  </si>
  <si>
    <t>1. Creación de matriz de navegadores a utilizar.
2. Smoke de autenticación y navegación.
3. Formularios y validaciones.
4. Subida de archivos (adjuntos).
5. Tablas y listados.
6. Transiciones de estado.
7. Contratos.
8. Responsive / zoom / fuentes.
9. Sesión, almacenamiento y caché
10. Consola y redes.
11. Accesibilidad básica (sanidad).</t>
  </si>
  <si>
    <t>Ambiente con datos de prueba.
Obtener cuenta por rol.
Plantillas disponibles para contratos y servicio de descargas activo.</t>
  </si>
  <si>
    <t>Flujos y endpoints ejercitados por la UI</t>
  </si>
  <si>
    <t xml:space="preserve">UI operativa y consistente en Chrome/Firefox/Edge, sin errores visuales (desbordes, solapamientos, fuentes rotas) ni funcionales.
Formularios se comportan igual (máscaras/validaciones, pickers).
Adjuntos, filtros, paginación y modales funcionan sin diferencias.
Descargas de PDF correctas en todos los navegadores.
Sin errores en consola y sin fallos de red (404/5xx/CORS).
Comportamiento responsive correcto en los anchos definidos.
</t>
  </si>
  <si>
    <t>CP_108</t>
  </si>
  <si>
    <t>Accesibilidad básica</t>
  </si>
  <si>
    <t>Usabilidad</t>
  </si>
  <si>
    <t>Comprobar que la interfaz cumpla criterios mínimos de accesibilidad en los flujos críticos de contratación. Se valida navegación con teclado, etiquetado correcto de formularios y controles (name/role/value), mensajes de error accesibles, contraste suficiente, orden de foco lógico, modales accesibles, tablas con cabeceras, toasts/alertas anunciadas, zoom 200% y reflow a 320 px sin pérdida de contenido.</t>
  </si>
  <si>
    <t>1. Configuración de herramientas.
2. Estructura y navegación global.
3. Formularios (crear/editar solicitud y detalles SPNP/TI/TA).
4. Modales y toasts.
5. Tablas y listados.
6. Adjuntos y descargas.
7. Contraste / color / iconografía.
8. Reflow / zoom / preferencias del usuario.
9. Lectura con lector de pantalla.
10. Regresión rápida en pantallas clave.</t>
  </si>
  <si>
    <t xml:space="preserve">La UI es operable con teclado; el foco siempre visible y en orden lógico. zoom 200% debe de funcionar sin problemas
Formularios correctamente etiquetados, errores accesibles y controles complejos operables con teclado.
Modales accesibles.
Toasts/alertas se anuncian.
Tablas con cabeceras y controles accesibles.
Lector de pantalla entiende propósito de controles y orden de contenido..
</t>
  </si>
  <si>
    <t>Baja</t>
  </si>
  <si>
    <t>MUST</t>
  </si>
  <si>
    <t>SHOULD</t>
  </si>
  <si>
    <t>WONT</t>
  </si>
  <si>
    <t>COULD</t>
  </si>
  <si>
    <t>Etiquetas de fila</t>
  </si>
  <si>
    <t>Total general</t>
  </si>
  <si>
    <t>Etiquetas de columna</t>
  </si>
  <si>
    <t>Recuento de ID_CASO</t>
  </si>
  <si>
    <t>Tabla1[ID_CASO]</t>
  </si>
  <si>
    <t>Tabla1[MODULO]</t>
  </si>
  <si>
    <t>Tabla1[Nombre del Caso de Prueba]</t>
  </si>
  <si>
    <t>Tabla1[Tipo de Prueba]</t>
  </si>
  <si>
    <t>Tabla1[Descripción]</t>
  </si>
  <si>
    <t>Tabla1[Pasos]</t>
  </si>
  <si>
    <t>Tabla1[Precondiciones]</t>
  </si>
  <si>
    <t>Tabla1[Datos de entrada]</t>
  </si>
  <si>
    <t>Tabla1[Resultado Esperado]</t>
  </si>
  <si>
    <t>Tabla1[Nivel de Prioridad]</t>
  </si>
  <si>
    <t>Tabla1[Estado]</t>
  </si>
  <si>
    <t>Tabla1[Evidencias]</t>
  </si>
  <si>
    <t>Tabla1[Fecha Inicio Prueba]</t>
  </si>
  <si>
    <t>Tabla1[Fecha Finalización Prueba]</t>
  </si>
  <si>
    <t>Tabla1[Duración de Prueba (minutos)]</t>
  </si>
  <si>
    <t>Tabla1[Tester]</t>
  </si>
  <si>
    <t>Tabla1[Automatizable]</t>
  </si>
  <si>
    <t>Tabla1[Automatizacion Terminada]</t>
  </si>
  <si>
    <t>Tabla1[Puntuacion MosCoW]</t>
  </si>
  <si>
    <t>Camino exitoso:
1. Dirigirse a ruta de creación de usuario.
2. Ingresar la información para la creación de usuarios (correo electrónico, nombre, rol, escuela (para los candidatos)).
3. Se registra usuario en base de datos, se encripta la contraseña y se envia por correo electrónico al usuario con el detalle.
4. Verificar que el usuario pueda ingresar al sistema.
Caminos fallidos:
Datos inválidos:
1. Dirigirse a ruta de creación de usuario.
2. Ingresar información de correo electrónico, nombre, o algunos de los campos de forma erronea.
3. Verificar que no permite la creación de registro de usuario y no se ingresa a BD.
Datos vacíos:
1. Dirigirse a ruta de creación de usuario.
2. No ingresar datos para la creación de usuario.
3. Verificar que no permite la creación de registro de usuario y no se ingresa a BD.</t>
  </si>
  <si>
    <t>Se actualiza información de usuario (cambio de contraseña, actualización de nombre de usuario, cambio de correo electrónico asociado, cambio de rol asociado a usuario o cambio de escuela) debe de permitir realizar la modificación y se actualiza en BD.
En casos donde se envien datos incorrectos o vacíos no debe permitir la actualización del registro y no existe cambios al registro en BD.</t>
  </si>
  <si>
    <t>Camino exitoso:
1. Identificar un usuario existente al cual se le realizará la actualización de información.
2. Dirigirse a la ruta de actualización de información de usuarios.
3. Identificar al usuario al que se realizará actualización de información.
4. Actualizar el nombre cualquiera de los campos disponibles para actualización (nombre, correo electrónico o escuela en caso de que aplique).
5. Verificar el cambio realizado en el detalle del usuario y en registro en BD.
6. Actualizar la contraseña del usuario.
7. Verificar que se envía correo electrónico al usuario con la contraseña temporal creada.
Casos fallidos:
1. Identificar un usuario existente al cual se le realizará la actualización de información.
2. Dirigirse a la ruta de actualización de información de usuarios.
3. Ingresar información con datos vacíos, con datos incorrectos o con correo electrónico que se encuentre ya en uso.
4. Deberá de mostrar mensaje de error y no permitirá actualizar la información del usuario. no tiene efectos sobre la BD.</t>
  </si>
  <si>
    <t>Usuario:
correo electrónico:ariana_gonzalez@ues.edu.sv
Cambios a efectuar.
Correctos:
Nombre: Katherine Ariana Gonzalez Ramírez -&gt; Katherine Ariana Gonzalez de Padilla.
Correo electrónico: ariana_gonzalez@ues.edu.sv -&gt; ariana_d_padilla@ues.edu.sv.</t>
  </si>
  <si>
    <t>1. Crear un usuario con un rol de Candidato.
2. Verificar que el usuario logueado creado con rol de candidato no tenga acceso a las rutas protegidas de otro rol (Ejemplo: Director).
3. Crear un usuario con rol de Recursos Humanos.
4. Verificar que el usuario logueado con rol de RRHH no tenga acceso a las rutas protegidas de otro rol.
5. Crear un usuario con rol de Director.
6. Verificar que el usuario logueado con rol de Director tenga sus acceso normales asignados a las rutas establecidas.</t>
  </si>
  <si>
    <t>1. Preparar al menos 100 cuentas de usuario válidas (con email y contraseña) que solo se usarán para estas pruebas.
2. Hacer logins minimos (1 por segundo) para que el sistema se prepare y active sus cachés.
3. Durante 3 minutos, hacer 20 intentos de login por segundo.
4. Registrar cuánto tarda cada login, contar los diferentes tipos de respuesta.
5.</t>
  </si>
  <si>
    <t>Lista de usuarios válidos creada específicamente para pruebas</t>
  </si>
  <si>
    <t>Usuario sin permiso read_semesters intentando listar ciclos</t>
  </si>
  <si>
    <t>Login como admin
PUT /schools/{id} con JSON válido 
PUT con datos faltantes o vacíos → error</t>
  </si>
  <si>
    <t>1.	POST /api/auth/login administrador.
2.	 Guardar token.
3.	 GET /academicLoad/all/bySchool.
4.	 Validar que solo aparezcan cargas de la escuela.</t>
  </si>
  <si>
    <t>Obtener token como administrador.
Usuario con permisos read_academicLoad.
Escuela válida.
Cargas existentes asociadas a escuela.</t>
  </si>
  <si>
    <t>UI operativa y consistente en Chrome/Firefox/Edge, sin errores visuales (desbordes, solapamientos, fuentes rotas) ni funcionales.
Formularios se comportan igual (máscaras/validaciones, pickers).
Adjuntos, filtros, paginación y modales funcionan sin diferencias.
Descargas de PDF correctas en todos los navegadores.
Sin errores en consola y sin fallos de red (404/5xx/CORS).
Comportamiento responsive correcto en los anchos definidos.</t>
  </si>
  <si>
    <t>La UI es operable con teclado; el foco siempre visible y en orden lógico. zoom 200% debe de funcionar sin problemas
Formularios correctamente etiquetados, errores accesibles y controles complejos operables con teclado.
Modales accesibles.
Toasts/alertas se anuncian.
Tablas con cabeceras y controles accesibles.
Lector de pantalla entiende propósito de controles y orden de contenido..</t>
  </si>
  <si>
    <t>Datos devueltos para Recuento de ID_CASO, Fallida (primeras 1000 filas).</t>
  </si>
  <si>
    <t>Módulos</t>
  </si>
  <si>
    <t>Estado de Prueba</t>
  </si>
  <si>
    <t>Total General</t>
  </si>
  <si>
    <t>MÓDULO</t>
  </si>
  <si>
    <t>NOMBRE DE CASO DE PRUEBA</t>
  </si>
  <si>
    <t>SEVERIDAD</t>
  </si>
  <si>
    <t>ESTADO</t>
  </si>
  <si>
    <t>TITULO INCIDENTE</t>
  </si>
  <si>
    <t>Error en Creación de Usuario con Rol Asistente 
de Recursos Humanos</t>
  </si>
  <si>
    <t>Critica</t>
  </si>
  <si>
    <t xml:space="preserve">Nombre del usuario permite ingreso de datos 
numéricos. </t>
  </si>
  <si>
    <t xml:space="preserve">La operación de actualización responde 201 
Created en lugar de 200 OK </t>
  </si>
  <si>
    <t>Usuarios con rol restringido pueden 
visualizar rutas y datos no autorizados.</t>
  </si>
  <si>
    <t xml:space="preserve">Formularios aceptan payloads maliciosos (SQLi 
/XSS) </t>
  </si>
  <si>
    <t xml:space="preserve">Acceso no autorizado a los datos de otro 
usuario. </t>
  </si>
  <si>
    <t xml:space="preserve">CORS no bloquea correctamente orígenes no 
permitidos </t>
  </si>
  <si>
    <t xml:space="preserve">Faltan cabeceras de seguridad y hay riesgo de 
contenido mixto. </t>
  </si>
  <si>
    <t xml:space="preserve">Acceso no autorizado de candidato a rutas 
protegidas </t>
  </si>
  <si>
    <t>Inicio de sesión con muchos usuarios 
simultáneos</t>
  </si>
  <si>
    <t>Tiempo de respuesta del Dashboard (Carga de 
indicadores)</t>
  </si>
  <si>
    <t>Acceso restringido a Cargos para rol no 
Administrador</t>
  </si>
  <si>
    <t xml:space="preserve">Creación de escuela bajo una facultad existente </t>
  </si>
  <si>
    <t>El sistema no permite validar filtrado de cargas 
por escuela</t>
  </si>
  <si>
    <t>Problemas en identificadores en la usabilidad 
del sistema en navegadores.</t>
  </si>
  <si>
    <t>Problemas de visualización al aplicar Zoom 
200%</t>
  </si>
  <si>
    <t>Permisos de rol en solicitudes de contratación</t>
  </si>
  <si>
    <t>Generación y validación de JWT/refresh token</t>
  </si>
  <si>
    <t>Mensajes idénticos para “usuario inexistente” y “contraseña incorrecta”.
Se obtiene código 401 generico para ambos casos.</t>
  </si>
  <si>
    <t>Cookie(s) esperadas: sessionid (persistente si “Recordarme”), eventual cookie de “remember”. Secure=true, HttpOnly=true, SameSite=Lax|Strict. Rotación de sessionid post-login. Expiración acorde a política.
Invalidación completa en logout</t>
  </si>
  <si>
    <t>Datos devueltos para Recuento de ID_CASO, Bloqueo (primeras 1000 filas).</t>
  </si>
  <si>
    <t>NOMBRE DEL CASO DE PRUEBA</t>
  </si>
  <si>
    <t>MOTIVO DE BLOQUEO</t>
  </si>
  <si>
    <t>El proyecto no cuenta con proceso de expiración, rotación y renovación de tokens, por lo cual este es un riesgo potencial en el proyecto</t>
  </si>
  <si>
    <t>El proyecto no cuenta con una politica de lockout por intentos fallido. No hay forma de verificar número máximo de intentos ni tiempos de bloqueo.</t>
  </si>
  <si>
    <t>El ambiente de pruebas no cuenta con la capacidad del volumen de pruebas que puede disparar.</t>
  </si>
  <si>
    <t>No se dispone de especificación técnica para validar vencimiento, cierre remoto o reutilización de cookies.</t>
  </si>
  <si>
    <t>Cuenta de Nivel de Prioridad</t>
  </si>
  <si>
    <t>Casos Exitosos</t>
  </si>
  <si>
    <t>Criterio</t>
  </si>
  <si>
    <t>Interpretación</t>
  </si>
  <si>
    <t>Frecuencia de Ejecución</t>
  </si>
  <si>
    <t>Alta: Se ejecuta en cada release, smoke test o despliegue.
Media: Se ejecuta en pruebas mensuales o regresión parcial.
Baja:  Solo en validaciones puntuales o cambios mayores.</t>
  </si>
  <si>
    <t>Criticidad del Proceso</t>
  </si>
  <si>
    <t>Alta: Afecta login, transacciones, datos críticos o cumplimiento.
Media: Afecta funciones intermedias, sin impacto directo en negocio.
Baja: Funcionalidades informativas o cosméticas.</t>
  </si>
  <si>
    <t>Estabilidad Funcional</t>
  </si>
  <si>
    <t>Alta: La función cambia muy poco entre versiones.
Media: Cambia ocasionalmente (por ajustes de reglas o UI).
Baja: Cambia constantemente o aún está en desarrollo.</t>
  </si>
  <si>
    <t>Resolución Determínistica</t>
  </si>
  <si>
    <t>Sí: El resultado esperado es claro.
No: Depende de interpretación humana o validación visual.</t>
  </si>
  <si>
    <t>Compatibilidad Técnica</t>
  </si>
  <si>
    <t>Alta: Se puede automatizar con herramientas existentes.
Media: Requiere herramientas adicionales o integración especial.
Baja: No hay soporte técnico o depende de sistemas externos no controlables.</t>
  </si>
  <si>
    <t>Frecuencia de ejecución</t>
  </si>
  <si>
    <t>Criticidad del proceso</t>
  </si>
  <si>
    <t>Resolución deterministica</t>
  </si>
  <si>
    <t>Compatabilidad técnica</t>
  </si>
  <si>
    <t>¿Automatizar?</t>
  </si>
  <si>
    <t>Justificación</t>
  </si>
  <si>
    <t>Es un flujo critico y recurrente que garantiza el incio de sesión de los usuarios. Presenta resultados deterministas y estables. Es compatible con herramientas de automatización API/UI y representará una reducción en el esfuerzo manual que será visto en valor monetario.</t>
  </si>
  <si>
    <t>Flujo de alta frecuencia y criticidad ya que garantiza que la invalidación de las sesiones y los tokens. Presenta un resultado deterministico, la prueba puede automatizarse a través de herramientas. La automatización de esta prueba refuerza el control de seguridad y accesos indebidos tras el cierre de sesión.</t>
  </si>
  <si>
    <t>Se mantiene de forma manual debido a que depende de componentes externos como correo electrónico y validación de contraseñas temporales. Aunque el proceso es importante puede tener baja frecuencia ya que se realizará en nuevas incorporaciones o eventos.</t>
  </si>
  <si>
    <t>Se puede automatizar debido a su criticidad, asi también como sus resultados son deterministicos, posee compatibilidad técnica a nivel de API. Unicamente la parte de notificación de correo dependerá de servicios externos.</t>
  </si>
  <si>
    <t>El listado de usuarios es estable y los resultados son deterministicos. Es totalmente compatible con pruebas de API, refuerza la validación de búsqueda, paginación y que no muestre datos sensibles. Reduce el esfuerzo manual en las pruebas de regresión.</t>
  </si>
  <si>
    <t>Posee criticidad alta y los resultados se mantienen deterministicos, existe alta frecuencia. Es compatible con las pruebas de API. La automatización garantiza el control continuo del RBAC y previene regresiones en seguridad.</t>
  </si>
  <si>
    <t>El envio de la contraseña al usuario puede requerir de valdiación manual o con mock.</t>
  </si>
  <si>
    <t>Posee alta criticidad y frecuencia, los resultados que se obtienen son deterministicos y estables. Brinda un smoke end-to-end rapido y detecta regresiones en todo el ciclo de usuarios.</t>
  </si>
  <si>
    <t>Posee alta criticidad y resultados deterministicos.Se pueden realizar pruebas API. La vetificación en bitácora puede realizar por medio del endpoint de auditoria.</t>
  </si>
  <si>
    <t>Posee alta criticidad y resultados deterministicos. La automatización se realiza via API, permite validar la actualización correcta, rechazo de datos invalidos y por permisos, confirmando además persistencia de cambios o no afectación de BD cuando corresponda.  Reduce regresiones en datos personales y control de acceso.</t>
  </si>
  <si>
    <t>Posee estabilidad y resultados deterministicos. Es altamente compatible con pruebas de API. Asegura la calidad del buscador y evita regresiones en listados.</t>
  </si>
  <si>
    <t>Necesita validación manual del chequeo de almacenamiento del archivo.</t>
  </si>
  <si>
    <t>Posee alta criticidad y resultados deterministicos. La automatización se verifica la correcta creación, rechazo por falta de permisos y por datos inválidos.</t>
  </si>
  <si>
    <t xml:space="preserve">Posee alta criticidad de seguridad, reglas estables y deterministicas y posee facilidad de automatización con API. </t>
  </si>
  <si>
    <t>Creación de datos persona y empleado API</t>
  </si>
  <si>
    <t>Las pruebas de API pueden ser automatizadas, previenen regresiones que expongan información sensible en la respuesta. Asegura que el RBAC bloquee la creación desde roles sin permisos. Verifica la persistencia real.</t>
  </si>
  <si>
    <t>Es un flujo estable y determinístico que se ejecuta con alta frecuencia para la validación de registros. Su automatización permitirá verificar rápidamente la carga y consistencia de los datos, reduciendo tiempo de validación manual.</t>
  </si>
  <si>
    <t>Los filtros son procesos críticos y recurrentes. Presentan resultados determinísticos y compatibles con herramientas de automatización API/UI. Su automatización reduce esfuerzo manual en pruebas de regresión.</t>
  </si>
  <si>
    <t>La funcionalidad es estable y determinística. Automatizar la paginación garantiza que los datos se muestren correctamente entre páginas, evitando errores visuales o de backend.</t>
  </si>
  <si>
    <t>Este flujo es crítico para la seguridad del sistema. Los resultados son determinísticos y estables. Su automatización permite validar continuamente restricciones de acceso por roles (RBAC).</t>
  </si>
  <si>
    <t>El flujo depende de factores externos (cantidad de registros, conexión y carga del servidor). Aunque es importante, su ejecución automatizada requeriría infraestructura adicional para pruebas de rendimiento.</t>
  </si>
  <si>
    <t>Aunque el flujo es estable, requiere revisión visual del contenido mostrado y la estructura de la lista, lo que implica evaluación humana para verificar que la información sea comprensible y esté correctamente presentada.</t>
  </si>
  <si>
    <t>Este caso involucra validar la interfaz de creación y la correcta presentación de los mensajes al usuario. Su revisión requiere criterio humano, por lo que no se automatiza completamente.</t>
  </si>
  <si>
    <t>Aunque el proceso técnico es estable, se necesita validar visualmente que los cambios se reflejen correctamente en pantalla, por lo tanto se ejecuta manualmente.</t>
  </si>
  <si>
    <t>El detalle debe revisarse visualmente para comprobar la correcta disposición y lectura de los datos, lo que requiere intervención humana.</t>
  </si>
  <si>
    <t>Esta prueba implica confirmar visualmente la eliminación en la interfaz, además de validar mensajes de confirmación, por lo que no se automatiza.</t>
  </si>
  <si>
    <t>Aunque técnicamente puede probarse por API, requiere validar manualmente que el usuario no autorizado reciba mensajes y redirecciones correctas en pantalla.</t>
  </si>
  <si>
    <t>Es un flujo clave en el proceso de contratación. Se ejecuta con frecuencia y su respuesta API es determinística, por lo que puede automatizarse para validar el registro de nuevas solicitudes.</t>
  </si>
  <si>
    <t>La acción es estable y con campos fijos. Puede automatizarse con Selenium, permitiendo verificar que el detalle se guarde correctamente</t>
  </si>
  <si>
    <t>Este flujo tiene comportamiento predecible y datos consistentes. La API responde con códigos 200/201, lo que facilita su automatización.</t>
  </si>
  <si>
    <t>Proceso estable y de alta prioridad. Automatizarlo ayuda a validar el envío correcto y a detectar fallos de comunicación entre módulos.</t>
  </si>
  <si>
    <t>Flujo determinístico con respuesta clara (estado “Aprobado”). Automatizarlo asegura consistencia en aprobaciones.</t>
  </si>
  <si>
    <t>Acción estable con estructura conocida. Permite automatizar la transición de estados con validaciones exactas.</t>
  </si>
  <si>
    <t>Flujo determinístico y repetitivo. Ideal para automatización API verificando mensajes y códigos de respuesta.</t>
  </si>
  <si>
    <t>Flujo recurrente y estable. La automatización garantiza la correcta actualización y reenvío de solicitudes.</t>
  </si>
  <si>
    <t>No se puede automatizar porque depende de correos y notificaciones externas. Requiere validación humana.</t>
  </si>
  <si>
    <t>Enviar Solicitud a Validación (ESD)</t>
  </si>
  <si>
    <t>El endpoint responde de forma estable y determinística. Automatizarlo ayuda a reducir pruebas manuales.</t>
  </si>
  <si>
    <t>El flujo tiene reglas claras y estables, y se puede automatizar por API para validar el cambio de estado.</t>
  </si>
  <si>
    <t>La aprobación tiene un resultado predecible y estable. Automatizable mediante API por su flujo determinístico.</t>
  </si>
  <si>
    <t>Es una acción crítica y repetitiva. Automatizarla permite asegurar que el contrato se genere correctamente cada vez.</t>
  </si>
  <si>
    <t>Permite probar accesos con distintos roles mediante tokens. Automatizarlo valida restricciones sin depender de revisión manual.</t>
  </si>
  <si>
    <t>Representa el flujo end-to-end del proceso. Su automatización asegura la estabilidad general del sistema.</t>
  </si>
  <si>
    <t>Se puede medir automáticamente con JMeter o Selenium. Automatizarlo facilita detectar degradaciones en rendimiento.</t>
  </si>
  <si>
    <t>Este flujo es ideal para automatizar la medición del rendimiento de consultas mediante herramientas de carga.</t>
  </si>
  <si>
    <t>Escenario reproducible por herramientas de rendimiento. Automatizarlo permite evaluar estabilidad del sistema bajo carga.</t>
  </si>
  <si>
    <t>Velocidad de procesamiento de correos y notificaciones</t>
  </si>
  <si>
    <t>No se automatiza porque depende de servicios de correo externos y procesos asíncronos del backend.</t>
  </si>
  <si>
    <t>Creación de un ciclo academico</t>
  </si>
  <si>
    <t>Las reglas son claras y estables expuestas por la API. Alto impacto si falla durante los periodos académicos. La automatización da gran cobertura de regresión con bajo costo.</t>
  </si>
  <si>
    <t>Impacta en la planificación académica por lo que es necesario alta confiabilidad. Posee estabilidad y respuestas claras. Cubriría regresiones y reduce esfuerzo manual en combinaciones de campos válidos.</t>
  </si>
  <si>
    <t>Puede representar un alto impacto en la planeación académica. El flujo y las respuestas son claras.Evita revisiones manuales repetitivas en el entornos de pruebas.</t>
  </si>
  <si>
    <t>El comportamiento es estable y se recibe un respuesta clara, no tiene dependencia ni datos sensibles. Ayudará a prevenir exposiciones de información por cambios en permisos y aporta cobertura de seguridad con bajo esfuerzo por mantenimiento.</t>
  </si>
  <si>
    <t>Es un riesgo alto si falla, el resultado es facil de comprender y estable, puede ser automatizado reduciendo el esfuerzo manual.</t>
  </si>
  <si>
    <t>Posee respuestas claras y predecibles. Su automatización evita regresiones en un enpoint administrativo sensible con alta disminución en ejecución en pruebas manuales.</t>
  </si>
  <si>
    <t>Este caso necesita comprobar la visualización de la información en la interfaz y la comprensión del contenido mostrado. Es necesaria la evaluación humana.</t>
  </si>
  <si>
    <t>Implica validar visualmente la restricción de acceso y los mensajes de error o advertencia en pantalla, lo que requiere revisión humana.</t>
  </si>
  <si>
    <t>La prueba es estable y respuesta predecible. Automatizarla permitirá una cobertura útil para detectar regresiones de permisos/serialización y se puede obtener beneficios monetarios al reemplazar los esfuerzos manuales.</t>
  </si>
  <si>
    <t>Su ejecución es poco frecuente. El flujo es estable y deterministico. Se obtendran beneficios monterarios al reemplazar las pruebas manuales y evita regresiones.</t>
  </si>
  <si>
    <t>Proceso estable y frecuente. Automatizarlo asegura la creación correcta de registros y reduce validaciones manuales.</t>
  </si>
  <si>
    <t>Flujo determinístico tipo GET. Su automatización permite validar integridad de datos y tiempos de respuesta.</t>
  </si>
  <si>
    <t>Es una consulta estable con parámetros fijos. Automatizarla optimiza la verificación de filtros de búsqueda.</t>
  </si>
  <si>
    <t>Permite validar la correcta creación de grupos en la base de datos y la relación con asignaturas y períodos activos. Su automatización asegura estabilidad en procesos masivos de carga académica y reduce errores humanos durante despliegues o actualizaciones.</t>
  </si>
  <si>
    <t>Garantiza la integridad relacional entre docentes y grupos. Automatizar este flujo permite validar las restricciones de asignación y prevenir conflictos de duplicidad o pérdida de datos durante cambios en la estructura académica</t>
  </si>
  <si>
    <t>El caso no se realiza con mucha frecuencia por lo cual no es necesario contemplarse para automatización</t>
  </si>
  <si>
    <t>Respuesta que se obtiene es deterministica, facil de validar, bajo costo de mantenimiento y util para detectar regresiones de permisos o de esquema.</t>
  </si>
  <si>
    <t>Respuesta que se obtiene es deterministica, facil de validar, bajo costo de mantenimiento y elimina a revisión manual y previene la regresión del formato.</t>
  </si>
  <si>
    <t>Endpoint estable y determinístico. Automatizarlo garantiza integridad del listado de registros.</t>
  </si>
  <si>
    <t>Flujo funcional estable. La automatización permite validar el alta de bancos sin intervención manual.</t>
  </si>
  <si>
    <t>Acción estable y predecible. Automatizable mediante API verificando el código de respuesta y nombre actualizado.</t>
  </si>
  <si>
    <t>Flujo determinístico. Se automatiza validando que la respuesta sea 200/204 y el registro desaparezca.</t>
  </si>
  <si>
    <t>Puede automatizarse simulando distintos roles con tokens. Asegura que los permisos de lectura estén correctamente aplicados.</t>
  </si>
  <si>
    <t>Es una operación recurrente y crítica para la visibilidad de información docente. Automatizarla permite validar rápidamente la integridad de los datos listados, el cumplimiento de permisos y el rendimiento del endpoint.</t>
  </si>
  <si>
    <t>Garantiza el control de integridad y unicidad de los registros. La automatización permite detectar de forma continua errores de validación ante duplicados, asegurando la confiabilidad del servicio.</t>
  </si>
  <si>
    <t>Flujo determinístico que requiere validación constante de permisos y reglas de negocio. Su automatización permite detectar regresiones en actualizaciones de datos y mejorar la cobertura de pruebas de API.</t>
  </si>
  <si>
    <t>Caso crítico de control de acceso. La respuesta esperada es determinística (código 403 o 401). Su automatización garantiza validación constante de reglas de seguridad.</t>
  </si>
  <si>
    <t>Flujo determinístico que puede automatizarse vía API. Garantiza integridad de datos y control de acceso.</t>
  </si>
  <si>
    <t>El endpoint de listado es estable y determinístico. Automatizarlo mejora las validaciones de consistencia y respuesta del servicio.</t>
  </si>
  <si>
    <t>La automatización permite verificar respuestas de error por duplicidad y cumplimiento de restricciones únicas de negocio.</t>
  </si>
  <si>
    <t>Proceso recurrente y estable que presenta resultados determinísticos. Su automatización asegura la correcta segmentación por estados.</t>
  </si>
  <si>
    <t>Flujo clave en el proceso de validación documental. Estable, determinístico y automatizable mediante API o UI.</t>
  </si>
  <si>
    <t>Verifica restricciones de acceso por roles. Caso de seguridad crítico y determinístico. La automatización garantiza control continuo de permisos.</t>
  </si>
  <si>
    <t>Estable y determinístico. Automatizarlo reduce validaciones manuales y asegura visibilidad correcta según perfil de usuario.</t>
  </si>
  <si>
    <t>Flujo repetido de aprobación documental. Determinístico y estable; se recomienda incluir en el set automatizado para reducir esfuerzo manual.</t>
  </si>
  <si>
    <t>Caso de validación de reglas obligatorias. Determinístico y automatizable, permite validar mensajes y campos requeridos.</t>
  </si>
  <si>
    <t>Flujo estable y determinístico. Automatizarlo asegura que los flujos de reenvío funcionen correctamente ante observaciones.</t>
  </si>
  <si>
    <t>Prueba crítica de seguridad con resultados determinísticos. Su automatización permite validar consistentemente el bloqueo tras múltiples intentos fallidos, asegurando cumplimiento de políticas de acceso.</t>
  </si>
  <si>
    <t>Flujo determinístico y estable. Es fundamental para garantizar la protección de datos y control de accesos. Automatizarlo refuerza validaciones de seguridad ante regresiones.</t>
  </si>
  <si>
    <t>Caso de seguridad que valida permisos sobre edición de recursos. Determinístico y estable; su automatización previene vulnerabilidades de control de acceso horizontal.</t>
  </si>
  <si>
    <t>Requiere inspección visual del comportamiento del navegador ante ejecución de scripts. No se automatiza completamente; se recomienda validación manual o uso de herramientas de análisis estático.</t>
  </si>
  <si>
    <t>Prueba técnica de configuración del servidor. Determinística y automatizable mediante scripts o herramientas API para validar encabezados y orígenes permitidos.</t>
  </si>
  <si>
    <t>Cabezeras de seguridad</t>
  </si>
  <si>
    <t>Estable y determinístico. Automatizable mediante scripts API para verificar cabeceras como X-Frame-Options, X-Content-Type-Options y Strict-Transport-Security.</t>
  </si>
  <si>
    <t>Caso determinístico de validación HTTPS/TLS. Automatizable mediante pruebas API o scripts de verificación del protocolo seguro y certificados válidos.</t>
  </si>
  <si>
    <t>Prueba crítica de autenticación. Determinística y automatizable para prevenir vulnerabilidades de contraseñas débiles o vacías.</t>
  </si>
  <si>
    <t>Compatibilidad: navegadores</t>
  </si>
  <si>
    <t>No se automatiza porque requiere observación humana en diferentes navegadores para verificar apariencia, diseño y adaptabilidad visual.</t>
  </si>
  <si>
    <t>Este caso depende de revisión manual para verificar colores, contraste, etiquetas y navegación accesible. No es viable automatizarlo porque requiere percepción visual y juicio humano.</t>
  </si>
  <si>
    <t>Se debe poseer inherencia dentro del código en donde nuestro involucramiento ha sido limitado.</t>
  </si>
  <si>
    <t>No es posible automatizar debido a que no ha sido implementado dentro del sistema</t>
  </si>
  <si>
    <t>Posee alta criticidad y resultados deterministicos y compatibilidad de API. Se valida que en las repuestas nunca aparezcan contraseñas y que el cambio de contraseña no revele el secreto. Prueba no se aplicará automatización</t>
  </si>
  <si>
    <t>Es una regla anti duplicados, sus respuestas son claras y estables. Se valida por API. Evitará regresiones que podrían duplicar empleados y corromper relaciones. Se creará parcial.</t>
  </si>
  <si>
    <t>Es un proceso que se realiza a diario, la regla es estable y retorna valores determinisiticos. Se valida con API inspeccionando el JSON. La prueba puede presentar alto valor y prevenir regresiones de seguridad. El sistema actualmente expone datos sensibles.</t>
  </si>
  <si>
    <t>El sistema no posee esta implementación no es posible automatizar.</t>
  </si>
  <si>
    <t>Ver Reporte de Evidencias</t>
  </si>
  <si>
    <t>Puntuacion MoSCoW</t>
  </si>
  <si>
    <t>1. Preparar al menos 100 cuentas de usuario válidas (con email y contraseña) que solo se usarán para estas pruebas.
2. Hacer logins minimos (1 por segundo) para que el sistema se prepare y active sus cachés.
3. Durante 3 minutos, hacer 20 intentos de login por segundo.
4. Registrar cuánto tarda cada login, contar los diferentes tipos de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</si>
</sst>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2"/>
      <color theme="0"/>
      <name val="Arial"/>
      <family val="2"/>
    </font>
    <font>
      <sz val="11"/>
      <color theme="1"/>
      <name val="Arial"/>
      <family val="2"/>
    </font>
    <font>
      <sz val="12"/>
      <color theme="1"/>
      <name val="Arial"/>
      <family val="2"/>
    </font>
    <font>
      <b/>
      <sz val="12"/>
      <color theme="1"/>
      <name val="Arial"/>
      <family val="2"/>
    </font>
    <font>
      <b/>
      <sz val="12"/>
      <color rgb="FFFF0000"/>
      <name val="Arial"/>
      <family val="2"/>
    </font>
    <font>
      <sz val="12"/>
      <color rgb="FF000000"/>
      <name val="Arial"/>
      <family val="2"/>
    </font>
    <font>
      <b/>
      <sz val="12"/>
      <color rgb="FF000000"/>
      <name val="Arial"/>
      <family val="2"/>
    </font>
    <font>
      <b/>
      <sz val="11"/>
      <color theme="1"/>
      <name val="Aptos Narrow"/>
      <family val="2"/>
      <scheme val="minor"/>
    </font>
    <font>
      <sz val="11"/>
      <color theme="1"/>
      <name val="Aptos Narrow"/>
      <family val="2"/>
      <scheme val="minor"/>
    </font>
    <font>
      <sz val="12"/>
      <color theme="1"/>
      <name val="Arial"/>
    </font>
    <font>
      <sz val="12"/>
      <color rgb="FF000000"/>
      <name val="Arial"/>
    </font>
    <font>
      <sz val="11"/>
      <color rgb="FF000000"/>
      <name val="Arial"/>
    </font>
    <font>
      <u/>
      <sz val="11"/>
      <color theme="10"/>
      <name val="Aptos Narrow"/>
      <family val="2"/>
      <scheme val="minor"/>
    </font>
    <font>
      <b/>
      <sz val="14"/>
      <color theme="1"/>
      <name val="Arial"/>
      <family val="2"/>
    </font>
    <font>
      <sz val="12"/>
      <name val="Arial"/>
      <family val="2"/>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8"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3">
    <xf numFmtId="0" fontId="0" fillId="0" borderId="0"/>
    <xf numFmtId="9" fontId="9" fillId="0" borderId="0" applyFont="0" applyFill="0" applyBorder="0" applyAlignment="0" applyProtection="0"/>
    <xf numFmtId="0" fontId="13" fillId="0" borderId="0" applyNumberFormat="0" applyFill="0" applyBorder="0" applyAlignment="0" applyProtection="0"/>
  </cellStyleXfs>
  <cellXfs count="7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top" wrapText="1"/>
    </xf>
    <xf numFmtId="0" fontId="3" fillId="0" borderId="7" xfId="0" applyFont="1" applyBorder="1" applyAlignment="1">
      <alignment horizontal="left" vertical="center" wrapText="1"/>
    </xf>
    <xf numFmtId="0" fontId="3" fillId="0" borderId="7" xfId="0" applyFont="1" applyBorder="1" applyAlignment="1">
      <alignment horizontal="left" vertical="center"/>
    </xf>
    <xf numFmtId="14" fontId="3" fillId="0" borderId="7" xfId="0" applyNumberFormat="1" applyFont="1" applyBorder="1" applyAlignment="1">
      <alignment horizontal="left" vertical="center"/>
    </xf>
    <xf numFmtId="0" fontId="3" fillId="0" borderId="8" xfId="0" applyFont="1" applyBorder="1" applyAlignment="1">
      <alignment vertical="center" wrapText="1"/>
    </xf>
    <xf numFmtId="0" fontId="3" fillId="0" borderId="9" xfId="0" applyFont="1" applyBorder="1" applyAlignment="1">
      <alignment horizontal="center" vertical="center" wrapText="1"/>
    </xf>
    <xf numFmtId="0" fontId="3" fillId="0" borderId="7" xfId="0" applyFont="1" applyBorder="1" applyAlignment="1">
      <alignment vertical="center" wrapText="1"/>
    </xf>
    <xf numFmtId="14" fontId="3" fillId="0" borderId="7" xfId="0" applyNumberFormat="1" applyFont="1" applyBorder="1" applyAlignment="1">
      <alignment vertical="center" wrapText="1"/>
    </xf>
    <xf numFmtId="0" fontId="5" fillId="0" borderId="7" xfId="0" applyFont="1" applyBorder="1" applyAlignment="1">
      <alignment horizontal="center" vertical="center" wrapText="1"/>
    </xf>
    <xf numFmtId="0" fontId="3" fillId="3" borderId="7" xfId="0" applyFont="1" applyFill="1" applyBorder="1" applyAlignment="1">
      <alignment horizontal="center" vertical="center" wrapText="1"/>
    </xf>
    <xf numFmtId="14" fontId="3" fillId="0" borderId="7" xfId="0" applyNumberFormat="1" applyFont="1" applyBorder="1" applyAlignment="1">
      <alignment horizontal="center" vertical="center" wrapText="1"/>
    </xf>
    <xf numFmtId="0" fontId="6" fillId="0" borderId="7" xfId="0" applyFont="1" applyBorder="1" applyAlignment="1">
      <alignment horizontal="left" vertical="top" wrapText="1"/>
    </xf>
    <xf numFmtId="14" fontId="6" fillId="0" borderId="0" xfId="0" applyNumberFormat="1" applyFont="1" applyAlignment="1">
      <alignment vertical="center"/>
    </xf>
    <xf numFmtId="0" fontId="6" fillId="0" borderId="0" xfId="0" applyFont="1" applyAlignment="1">
      <alignment vertical="center"/>
    </xf>
    <xf numFmtId="0" fontId="3" fillId="0" borderId="10" xfId="0" applyFont="1" applyBorder="1" applyAlignment="1">
      <alignment vertical="center" wrapText="1"/>
    </xf>
    <xf numFmtId="0" fontId="2" fillId="0" borderId="0" xfId="0" applyFont="1" applyAlignment="1">
      <alignment wrapText="1"/>
    </xf>
    <xf numFmtId="0" fontId="0" fillId="0" borderId="0" xfId="0" pivotButton="1"/>
    <xf numFmtId="0" fontId="0" fillId="0" borderId="0" xfId="0" applyAlignment="1">
      <alignment horizontal="left"/>
    </xf>
    <xf numFmtId="14" fontId="0" fillId="0" borderId="0" xfId="0" applyNumberFormat="1"/>
    <xf numFmtId="0" fontId="8" fillId="0" borderId="0" xfId="0" applyFont="1"/>
    <xf numFmtId="0" fontId="4" fillId="4" borderId="11" xfId="0" applyFont="1" applyFill="1" applyBorder="1"/>
    <xf numFmtId="0" fontId="3" fillId="0" borderId="11" xfId="0" applyFont="1" applyBorder="1" applyAlignment="1">
      <alignment horizontal="left"/>
    </xf>
    <xf numFmtId="0" fontId="4" fillId="4" borderId="11" xfId="0" applyFont="1" applyFill="1" applyBorder="1" applyAlignment="1">
      <alignment horizontal="left"/>
    </xf>
    <xf numFmtId="0" fontId="3" fillId="0" borderId="11" xfId="0" applyFont="1" applyBorder="1" applyAlignment="1">
      <alignment horizontal="center"/>
    </xf>
    <xf numFmtId="0" fontId="4" fillId="4" borderId="11" xfId="0" applyFont="1" applyFill="1" applyBorder="1" applyAlignment="1">
      <alignment horizontal="center"/>
    </xf>
    <xf numFmtId="0" fontId="5" fillId="0" borderId="11" xfId="0" applyFont="1" applyBorder="1" applyAlignment="1">
      <alignment horizontal="center"/>
    </xf>
    <xf numFmtId="0" fontId="8" fillId="0" borderId="14" xfId="0" applyFont="1" applyBorder="1"/>
    <xf numFmtId="0" fontId="8" fillId="0" borderId="15" xfId="0" applyFont="1" applyBorder="1"/>
    <xf numFmtId="0" fontId="8" fillId="0" borderId="16" xfId="0" applyFont="1" applyBorder="1"/>
    <xf numFmtId="0" fontId="0" fillId="0" borderId="11" xfId="0"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8" fillId="0" borderId="11" xfId="0" applyFont="1" applyBorder="1" applyAlignment="1">
      <alignment horizontal="center" vertical="center" wrapText="1"/>
    </xf>
    <xf numFmtId="9" fontId="0" fillId="0" borderId="0" xfId="1" applyFont="1"/>
    <xf numFmtId="10" fontId="0" fillId="0" borderId="0" xfId="1" applyNumberFormat="1" applyFont="1"/>
    <xf numFmtId="0" fontId="0" fillId="0" borderId="0" xfId="0" applyAlignment="1">
      <alignment wrapText="1"/>
    </xf>
    <xf numFmtId="0" fontId="3"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wrapText="1"/>
    </xf>
    <xf numFmtId="0" fontId="0" fillId="0" borderId="0" xfId="0" applyAlignment="1">
      <alignment vertical="center"/>
    </xf>
    <xf numFmtId="0" fontId="0" fillId="0" borderId="0" xfId="0" applyAlignment="1">
      <alignment vertical="center" wrapText="1"/>
    </xf>
    <xf numFmtId="0" fontId="3" fillId="0" borderId="0" xfId="0" applyFont="1"/>
    <xf numFmtId="0" fontId="10" fillId="0" borderId="0" xfId="0" applyFont="1" applyAlignment="1">
      <alignment vertical="center"/>
    </xf>
    <xf numFmtId="0" fontId="11" fillId="0" borderId="0" xfId="0" applyFont="1" applyAlignment="1">
      <alignment vertical="center" wrapText="1"/>
    </xf>
    <xf numFmtId="0" fontId="12" fillId="0" borderId="0" xfId="0" applyFont="1" applyAlignment="1">
      <alignment wrapText="1"/>
    </xf>
    <xf numFmtId="0" fontId="6" fillId="0" borderId="0" xfId="0" applyFont="1" applyAlignment="1">
      <alignment vertical="center" wrapText="1"/>
    </xf>
    <xf numFmtId="0" fontId="6" fillId="0" borderId="0" xfId="0" applyFont="1" applyAlignment="1">
      <alignment wrapText="1"/>
    </xf>
    <xf numFmtId="0" fontId="13" fillId="0" borderId="7" xfId="2" applyBorder="1" applyAlignment="1">
      <alignment horizontal="center" vertical="center" wrapText="1"/>
    </xf>
    <xf numFmtId="0" fontId="3" fillId="0" borderId="12" xfId="0" applyFont="1" applyBorder="1" applyAlignment="1">
      <alignment wrapText="1"/>
    </xf>
    <xf numFmtId="0" fontId="3" fillId="0" borderId="13" xfId="0" applyFont="1" applyBorder="1" applyAlignment="1">
      <alignment wrapText="1"/>
    </xf>
    <xf numFmtId="0" fontId="3" fillId="0" borderId="17" xfId="0" applyFont="1" applyBorder="1" applyAlignment="1">
      <alignment wrapText="1"/>
    </xf>
    <xf numFmtId="0" fontId="3" fillId="0" borderId="19" xfId="0" applyFont="1" applyBorder="1" applyAlignment="1">
      <alignment wrapText="1"/>
    </xf>
    <xf numFmtId="0" fontId="14" fillId="0" borderId="14" xfId="0" applyFont="1" applyBorder="1" applyAlignment="1">
      <alignment horizontal="center" vertical="center" wrapText="1"/>
    </xf>
    <xf numFmtId="0" fontId="14" fillId="0" borderId="16" xfId="0" applyFont="1" applyBorder="1" applyAlignment="1">
      <alignment horizontal="center" vertical="center"/>
    </xf>
    <xf numFmtId="0" fontId="5" fillId="5"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4" fillId="0" borderId="13" xfId="0" applyFont="1" applyBorder="1" applyAlignment="1">
      <alignment horizontal="center"/>
    </xf>
    <xf numFmtId="0" fontId="4" fillId="0" borderId="20"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vertical="center" wrapText="1"/>
    </xf>
    <xf numFmtId="0" fontId="4" fillId="0" borderId="15" xfId="0" applyFont="1" applyBorder="1" applyAlignment="1">
      <alignment horizontal="center" vertical="center" wrapText="1"/>
    </xf>
    <xf numFmtId="0" fontId="4" fillId="4" borderId="18" xfId="0" applyFont="1" applyFill="1" applyBorder="1" applyAlignment="1">
      <alignment horizontal="center" vertical="center"/>
    </xf>
    <xf numFmtId="0" fontId="4" fillId="4" borderId="15" xfId="0" applyFont="1" applyFill="1" applyBorder="1" applyAlignment="1">
      <alignment horizontal="center" vertical="center"/>
    </xf>
  </cellXfs>
  <cellStyles count="3">
    <cellStyle name="Hipervínculo" xfId="2" builtinId="8"/>
    <cellStyle name="Normal" xfId="0" builtinId="0"/>
    <cellStyle name="Porcentaje" xfId="1" builtinId="5"/>
  </cellStyles>
  <dxfs count="57">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outline val="0"/>
        <shadow val="0"/>
        <u val="none"/>
        <vertAlign val="baseline"/>
        <sz val="14"/>
        <color theme="1"/>
        <name val="Arial"/>
        <family val="2"/>
        <scheme val="none"/>
      </font>
      <alignment horizontal="center" vertical="center" textRotation="0" indent="0" justifyLastLine="0" shrinkToFit="0" readingOrder="0"/>
    </dxf>
    <dxf>
      <font>
        <strike val="0"/>
        <outline val="0"/>
        <shadow val="0"/>
        <u val="none"/>
        <vertAlign val="baseline"/>
        <sz val="12"/>
        <color theme="1"/>
        <name val="Arial"/>
        <family val="2"/>
        <scheme val="none"/>
      </font>
      <alignment wrapText="1"/>
    </dxf>
    <dxf>
      <font>
        <strike val="0"/>
        <outline val="0"/>
        <shadow val="0"/>
        <u val="none"/>
        <vertAlign val="baseline"/>
        <sz val="12"/>
        <color theme="1"/>
        <name val="Arial"/>
        <family val="2"/>
        <scheme val="none"/>
      </font>
      <alignment horizontal="general" vertical="center" textRotation="0" wrapText="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left/>
        <right/>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numFmt numFmtId="19" formatCode="d/m/yyyy"/>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numFmt numFmtId="19" formatCode="d/m/yyyy"/>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numFmt numFmtId="19" formatCode="d/m/yyyy"/>
    </dxf>
    <dxf>
      <numFmt numFmtId="19" formatCode="d/m/yyyy"/>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border diagonalUp="0" diagonalDown="0" outline="0">
        <left style="thin">
          <color indexed="64"/>
        </left>
        <right style="thin">
          <color indexed="64"/>
        </right>
        <top/>
        <bottom/>
      </border>
    </dxf>
    <dxf>
      <numFmt numFmtId="19" formatCode="d/m/yyyy"/>
    </dxf>
    <dxf>
      <numFmt numFmtId="19" formatCode="d/m/yyyy"/>
    </dxf>
    <dxf>
      <numFmt numFmtId="19" formatCode="d/m/yyyy"/>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sa0\Desktop\CONSOLIDADO%20DE%20TESINA\MATRIZ%20DE%20PRUEBAS.xlsx" TargetMode="External"/><Relationship Id="rId1" Type="http://schemas.openxmlformats.org/officeDocument/2006/relationships/externalLinkPath" Target="/Users/rasa0/Desktop/CONSOLIDADO%20DE%20TESINA/MATRIZ%20DE%20PRUEB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lle1"/>
      <sheetName val="Detalle2"/>
      <sheetName val="RESUMEN GENERAL"/>
      <sheetName val="Hoja3"/>
      <sheetName val="MATRIZ DE CASOS DE PRUEBA"/>
      <sheetName val="MATRIZ CASOS AUTOMATIZAR"/>
      <sheetName val="MATRIZ DE CASOS DE PRUEBA UNIFI"/>
      <sheetName val="Hoja2"/>
      <sheetName val="MATRIZ DE PRUEBAS"/>
    </sheetNames>
    <sheetDataSet>
      <sheetData sheetId="0"/>
      <sheetData sheetId="1"/>
      <sheetData sheetId="2"/>
      <sheetData sheetId="3"/>
      <sheetData sheetId="4"/>
      <sheetData sheetId="5"/>
      <sheetData sheetId="6"/>
      <sheetData sheetId="7"/>
      <sheetData sheetId="8" refreshError="1"/>
    </sheetDataSet>
  </externalBook>
</external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ld Sermeño" refreshedDate="45983.816595023149" backgroundQuery="1" createdVersion="8" refreshedVersion="8" minRefreshableVersion="3" recordCount="0" supportSubquery="1" supportAdvancedDrill="1" xr:uid="{190416F4-907F-45F7-9723-91E3120FAC2A}">
  <cacheSource type="external" connectionId="4"/>
  <cacheFields count="3">
    <cacheField name="[Tabla1].[MODULO].[MODULO]" caption="MODULO" numFmtId="0" hierarchy="1" level="1">
      <sharedItems count="20">
        <s v="ACTIVIDADES DE DOCENTES"/>
        <s v="BANCOS"/>
        <s v="BITÁCORA"/>
        <s v="CANDIDATO"/>
        <s v="CARGA ACADEMICA"/>
        <s v="CARGOS"/>
        <s v="CICLO"/>
        <s v="CONTRATACIÓN"/>
        <s v="EMPLEADOS"/>
        <s v="ESCALAFÓN"/>
        <s v="ESCUELAS"/>
        <s v="FACULTADES"/>
        <s v="FORMATOS"/>
        <s v="GRUPOS"/>
        <s v="RENDIMIENTO"/>
        <s v="REVISION DE DOCUMENTOS"/>
        <s v="SEGURIDAD"/>
        <s v="TIPOS DE GRUPO"/>
        <s v="USABILIDAD"/>
        <s v="USUARIOS"/>
      </sharedItems>
    </cacheField>
    <cacheField name="[Tabla1].[Estado].[Estado]" caption="Estado" numFmtId="0" hierarchy="10" level="1">
      <sharedItems count="4">
        <s v="Bloqueo"/>
        <s v="Ejecución"/>
        <s v="Exitosa"/>
        <s v="Fallida"/>
      </sharedItems>
    </cacheField>
    <cacheField name="[Measures].[Recuento de ID_CASO]" caption="Recuento de ID_CASO" numFmtId="0" hierarchy="21" level="32767"/>
  </cacheFields>
  <cacheHierarchies count="22">
    <cacheHierarchy uniqueName="[Tabla1].[ID_CASO]" caption="ID_CASO" attribute="1" defaultMemberUniqueName="[Tabla1].[ID_CASO].[All]" allUniqueName="[Tabla1].[ID_CASO].[All]" dimensionUniqueName="[Tabla1]" displayFolder="" count="0" memberValueDatatype="130" unbalanced="0"/>
    <cacheHierarchy uniqueName="[Tabla1].[MODULO]" caption="MODULO" attribute="1" defaultMemberUniqueName="[Tabla1].[MODULO].[All]" allUniqueName="[Tabla1].[MODULO].[All]" dimensionUniqueName="[Tabla1]" displayFolder="" count="2" memberValueDatatype="130" unbalanced="0">
      <fieldsUsage count="2">
        <fieldUsage x="-1"/>
        <fieldUsage x="0"/>
      </fieldsUsage>
    </cacheHierarchy>
    <cacheHierarchy uniqueName="[Tabla1].[Nombre del Caso de Prueba]" caption="Nombre del Caso de Prueba" attribute="1" defaultMemberUniqueName="[Tabla1].[Nombre del Caso de Prueba].[All]" allUniqueName="[Tabla1].[Nombre del Caso de Prueba].[All]" dimensionUniqueName="[Tabla1]" displayFolder="" count="0" memberValueDatatype="130" unbalanced="0"/>
    <cacheHierarchy uniqueName="[Tabla1].[Tipo de Prueba]" caption="Tipo de Prueba" attribute="1" defaultMemberUniqueName="[Tabla1].[Tipo de Prueba].[All]" allUniqueName="[Tabla1].[Tipo de Prueba].[All]" dimensionUniqueName="[Tabla1]" displayFolder="" count="0" memberValueDatatype="130" unbalanced="0"/>
    <cacheHierarchy uniqueName="[Tabla1].[Descripción]" caption="Descripción" attribute="1" defaultMemberUniqueName="[Tabla1].[Descripción].[All]" allUniqueName="[Tabla1].[Descripción].[All]" dimensionUniqueName="[Tabla1]" displayFolder="" count="0" memberValueDatatype="130" unbalanced="0"/>
    <cacheHierarchy uniqueName="[Tabla1].[Pasos]" caption="Pasos" attribute="1" defaultMemberUniqueName="[Tabla1].[Pasos].[All]" allUniqueName="[Tabla1].[Pasos].[All]" dimensionUniqueName="[Tabla1]" displayFolder="" count="0" memberValueDatatype="130" unbalanced="0"/>
    <cacheHierarchy uniqueName="[Tabla1].[Precondiciones]" caption="Precondiciones" attribute="1" defaultMemberUniqueName="[Tabla1].[Precondiciones].[All]" allUniqueName="[Tabla1].[Precondiciones].[All]" dimensionUniqueName="[Tabla1]" displayFolder="" count="0" memberValueDatatype="130" unbalanced="0"/>
    <cacheHierarchy uniqueName="[Tabla1].[Datos de entrada]" caption="Datos de entrada" attribute="1" defaultMemberUniqueName="[Tabla1].[Datos de entrada].[All]" allUniqueName="[Tabla1].[Datos de entrada].[All]" dimensionUniqueName="[Tabla1]" displayFolder="" count="0" memberValueDatatype="130" unbalanced="0"/>
    <cacheHierarchy uniqueName="[Tabla1].[Resultado Esperado]" caption="Resultado Esperado" attribute="1" defaultMemberUniqueName="[Tabla1].[Resultado Esperado].[All]" allUniqueName="[Tabla1].[Resultado Esperado].[All]" dimensionUniqueName="[Tabla1]" displayFolder="" count="0" memberValueDatatype="130" unbalanced="0"/>
    <cacheHierarchy uniqueName="[Tabla1].[Nivel de Prioridad]" caption="Nivel de Prioridad" attribute="1" defaultMemberUniqueName="[Tabla1].[Nivel de Prioridad].[All]" allUniqueName="[Tabla1].[Nivel de Prioridad].[All]" dimensionUniqueName="[Tabla1]" displayFolder="" count="0" memberValueDatatype="130" unbalanced="0"/>
    <cacheHierarchy uniqueName="[Tabla1].[Estado]" caption="Estado" attribute="1" defaultMemberUniqueName="[Tabla1].[Estado].[All]" allUniqueName="[Tabla1].[Estado].[All]" dimensionUniqueName="[Tabla1]" displayFolder="" count="2" memberValueDatatype="130" unbalanced="0">
      <fieldsUsage count="2">
        <fieldUsage x="-1"/>
        <fieldUsage x="1"/>
      </fieldsUsage>
    </cacheHierarchy>
    <cacheHierarchy uniqueName="[Tabla1].[Evidencias]" caption="Evidencias" attribute="1" defaultMemberUniqueName="[Tabla1].[Evidencias].[All]" allUniqueName="[Tabla1].[Evidencias].[All]" dimensionUniqueName="[Tabla1]" displayFolder="" count="0" memberValueDatatype="130" unbalanced="0"/>
    <cacheHierarchy uniqueName="[Tabla1].[Fecha Inicio Prueba]" caption="Fecha Inicio Prueba" attribute="1" time="1" defaultMemberUniqueName="[Tabla1].[Fecha Inicio Prueba].[All]" allUniqueName="[Tabla1].[Fecha Inicio Prueba].[All]" dimensionUniqueName="[Tabla1]" displayFolder="" count="0" memberValueDatatype="7" unbalanced="0"/>
    <cacheHierarchy uniqueName="[Tabla1].[Fecha Finalización Prueba]" caption="Fecha Finalización Prueba" attribute="1" time="1" defaultMemberUniqueName="[Tabla1].[Fecha Finalización Prueba].[All]" allUniqueName="[Tabla1].[Fecha Finalización Prueba].[All]" dimensionUniqueName="[Tabla1]" displayFolder="" count="0" memberValueDatatype="7" unbalanced="0"/>
    <cacheHierarchy uniqueName="[Tabla1].[Duración de Prueba (minutos)]" caption="Duración de Prueba (minutos)" attribute="1" defaultMemberUniqueName="[Tabla1].[Duración de Prueba (minutos)].[All]" allUniqueName="[Tabla1].[Duración de Prueba (minutos)].[All]" dimensionUniqueName="[Tabla1]" displayFolder="" count="0" memberValueDatatype="20" unbalanced="0"/>
    <cacheHierarchy uniqueName="[Tabla1].[Tester]" caption="Tester" attribute="1" defaultMemberUniqueName="[Tabla1].[Tester].[All]" allUniqueName="[Tabla1].[Tester].[All]" dimensionUniqueName="[Tabla1]" displayFolder="" count="0" memberValueDatatype="130" unbalanced="0"/>
    <cacheHierarchy uniqueName="[Tabla1].[Automatizable]" caption="Automatizable" attribute="1" defaultMemberUniqueName="[Tabla1].[Automatizable].[All]" allUniqueName="[Tabla1].[Automatizable].[All]" dimensionUniqueName="[Tabla1]" displayFolder="" count="0" memberValueDatatype="130" unbalanced="0"/>
    <cacheHierarchy uniqueName="[Tabla1].[Automatizacion Terminada]" caption="Automatizacion Terminada" attribute="1" defaultMemberUniqueName="[Tabla1].[Automatizacion Terminada].[All]" allUniqueName="[Tabla1].[Automatizacion Terminada].[All]" dimensionUniqueName="[Tabla1]" displayFolder="" count="0" memberValueDatatype="130" unbalanced="0"/>
    <cacheHierarchy uniqueName="[Tabla1].[Puntuacion MosCoW]" caption="Puntuacion MosCoW" attribute="1" defaultMemberUniqueName="[Tabla1].[Puntuacion MosCoW].[All]" allUniqueName="[Tabla1].[Puntuacion MosCoW].[All]" dimensionUniqueName="[Tabla1]" displayFolder="" count="0" memberValueDatatype="130" unbalanced="0"/>
    <cacheHierarchy uniqueName="[Measures].[__XL_Count Tabla1]" caption="__XL_Count Tabla1" measure="1" displayFolder="" measureGroup="Tabla1" count="0" hidden="1"/>
    <cacheHierarchy uniqueName="[Measures].[__No measures defined]" caption="__No measures defined" measure="1" displayFolder="" count="0" hidden="1"/>
    <cacheHierarchy uniqueName="[Measures].[Recuento de ID_CASO]" caption="Recuento de ID_CASO" measure="1" displayFolder="" measureGroup="Tabla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a1" uniqueName="[Tabla1]" caption="Tabla1"/>
  </dimensions>
  <measureGroups count="1">
    <measureGroup name="Tabla1" caption="Tabl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ald Sermeño" refreshedDate="45989.830341898145" createdVersion="8" refreshedVersion="8" minRefreshableVersion="3" recordCount="106" xr:uid="{297ABCF5-08D8-4CE7-AFA4-A4D5F02D1189}">
  <cacheSource type="worksheet">
    <worksheetSource name="Tabla1"/>
  </cacheSource>
  <cacheFields count="19">
    <cacheField name="ID_CASO" numFmtId="0">
      <sharedItems/>
    </cacheField>
    <cacheField name="MODULO" numFmtId="0">
      <sharedItems/>
    </cacheField>
    <cacheField name="Nombre del Caso de Prueba" numFmtId="0">
      <sharedItems/>
    </cacheField>
    <cacheField name="Tipo de Prueba" numFmtId="0">
      <sharedItems/>
    </cacheField>
    <cacheField name="Descripción" numFmtId="0">
      <sharedItems longText="1"/>
    </cacheField>
    <cacheField name="Pasos" numFmtId="0">
      <sharedItems longText="1"/>
    </cacheField>
    <cacheField name="Precondiciones" numFmtId="0">
      <sharedItems/>
    </cacheField>
    <cacheField name="Datos de entrada" numFmtId="0">
      <sharedItems longText="1"/>
    </cacheField>
    <cacheField name="Resultado Esperado" numFmtId="0">
      <sharedItems longText="1"/>
    </cacheField>
    <cacheField name="Nivel de Prioridad" numFmtId="0">
      <sharedItems count="4">
        <s v="Alta"/>
        <s v="Media"/>
        <s v="Crítica"/>
        <s v="Baja"/>
      </sharedItems>
    </cacheField>
    <cacheField name="Estado" numFmtId="0">
      <sharedItems count="4">
        <s v="Exitosa"/>
        <s v="Fallida"/>
        <s v="Bloqueo"/>
        <s v="Ejecución"/>
      </sharedItems>
    </cacheField>
    <cacheField name="Evidencias" numFmtId="0">
      <sharedItems containsNonDate="0" containsString="0" containsBlank="1"/>
    </cacheField>
    <cacheField name="Fecha Inicio Prueba" numFmtId="0">
      <sharedItems containsNonDate="0" containsDate="1" containsString="0" containsBlank="1" minDate="2025-10-21T00:00:00" maxDate="2025-10-27T00:00:00"/>
    </cacheField>
    <cacheField name="Fecha Finalización Prueba" numFmtId="0">
      <sharedItems containsNonDate="0" containsDate="1" containsString="0" containsBlank="1" minDate="2025-10-21T00:00:00" maxDate="2025-10-27T00:00:00"/>
    </cacheField>
    <cacheField name="Duración de Prueba (minutos)" numFmtId="0">
      <sharedItems containsString="0" containsBlank="1" containsNumber="1" containsInteger="1" minValue="5" maxValue="120"/>
    </cacheField>
    <cacheField name="Tester" numFmtId="0">
      <sharedItems/>
    </cacheField>
    <cacheField name="Automatizable" numFmtId="0">
      <sharedItems/>
    </cacheField>
    <cacheField name="Automatizacion Terminada" numFmtId="0">
      <sharedItems/>
    </cacheField>
    <cacheField name="Puntuacion MosCoW"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s v="CP_01"/>
    <s v="USUARIOS"/>
    <s v="Iniciar sesión"/>
    <s v="Funcional"/>
    <s v="Usuario ingresa en el sistema con su correo electrónico y contraseña correctos. _x000a_Se valida que para los casos que el correo electrónico es incorrecto o con contraseña incorrecta, datos vacíos o usuario inexistente, no permite iniciar sesión ni ingresar a rutas protegidas._x000a_"/>
    <s v="Camino exitoso:_x000a_1. Ingresar a la ruta de inicio de sesión para usuarios._x000a_2. Identificar y obtener la información de un usuario activo._x000a_3. Ingresar los datos correos de correo electrónico y contraseña e iniciar sesión._x000a_4. Verificar que el resultado sea exitoso y se obtiene un token de inicio de sesión._x000a_5. Verificar el acceso a las rutas que posea el rol de usuario._x000a__x000a_Caminos Fallidos:_x000a_Datos vacíos:_x000a_1. Ingresar a la ruta de inicio de sesión para usuarios._x000a_2. Dejar los datos vacíos de contraseña y correo electrónico._x000a_3. Verificar que no permite el ingreso y muestra un mensaje de completitud de datos._x000a__x000a_Datos incorrectos:_x000a_1. Ingresar a la ruta de inicio de sesión para usuarios._x000a_2.Ingresar un correo electrónico válido y contraseña incorrecta del usuario._x000a_3. Verificar que no permite el ingreso y muestra un mensaje genérico de error para ambos casos._x000a__x000a_Usuario inexistente:_x000a_1.Ingresar a la ruta de inicio de sesión para usuarios._x000a_2. Los campos de correo electrónico y contraseña se dejan vacío._x000a_3. Verificar que no permite el ingreso y muestra un mensaje genérico de error, no debe mostrarse &quot;usuario no existe&quot;."/>
    <s v="Usuario existente y válido del sistema."/>
    <s v="1. Correo electrónico: sa16007@ues.edu.sv_x000a_2. Contraseña: password1234"/>
    <s v="Casos exitosos: Se espera que se logre ingresar de forma exitosa en el sistema y se responde con código 200 OK, se obtiene token de autenticación._x000a__x000a_Casos fallidos: Se espera que responda con un código 401 Unauthorized no se retorna ninguna información. No se envían correos ni se crean sesiones. No permite el ingreso a ninguna ruta protegida. El mensaje de error se mantiene genérico."/>
    <x v="0"/>
    <x v="0"/>
    <m/>
    <d v="2025-10-21T00:00:00"/>
    <d v="2025-10-21T00:00:00"/>
    <n v="40"/>
    <s v="RONALD"/>
    <s v="Si"/>
    <s v="SI"/>
    <s v="MUST"/>
  </r>
  <r>
    <s v="CP_02"/>
    <s v="USUARIOS"/>
    <s v="Logout invalida sesión"/>
    <s v="Funcional"/>
    <s v="Usuario ejecuta cierre de sesión y no permite el acceso a rutas privadas tras salir; las cookies y tokens son inválidos."/>
    <s v="1. Dirigirse a la ruta de inicio de sesión para usuarios._x000a_2. Ingresar datos de usuario existente y correctos e iniciar sesión._x000a_3. Validar ingreso a rutas protegidas._x000a_4. Cerrar sesión._x000a_5. Validar que las cookies y tokens se invalidan y no se posee accesos a rutas protegidas."/>
    <s v="Usuario existente y válido del sistema."/>
    <s v="1. Correo electrónico: sa16007@ues.edu.sv_x000a_2. Contraseña: password1234"/>
    <s v="Se espera que las cookies y tokens al realizar cierre de sesión se invaliden y no permita ingresar a rutas protegidas."/>
    <x v="0"/>
    <x v="0"/>
    <m/>
    <d v="2025-10-21T00:00:00"/>
    <d v="2025-10-21T00:00:00"/>
    <n v="20"/>
    <s v="RONALD"/>
    <s v="Si"/>
    <s v="SI"/>
    <s v="MUST"/>
  </r>
  <r>
    <s v="CP_03"/>
    <s v="USUARIOS"/>
    <s v="Creación de usuario"/>
    <s v="Funcional"/>
    <s v="Se crea registros nuevo usuario en el sistema, los unicos roles que pueden realizar creaciones de usuario son Administrador y Super Administrador. Al crear un nuevo usuario se envía correo electrónico al usuario con contraseña temporal._x000a__x000a_No se permite la creación de usuarios con datos incorrectos o vacíos, o con correo electrónico ya asociado a un usuario."/>
    <s v="Camino exitoso:_x000a_1. Dirigirse a ruta de creación de usuario._x000a_2. Ingresar la información para la creación de usuarios (correo electrónico, nombre, rol, escuela (para los candidatos))._x000a_3. Se registra usuario en base de datos, se encripta la contraseña y se envia por correo electrónico al usuario con el detalle._x000a_4. Verificar que el usuario pueda ingresar al sistema._x000a__x000a_Caminos fallidos:_x000a_Datos inválidos:_x000a_1. Dirigirse a ruta de creación de usuario._x000a_2. Ingresar información de correo electrónico, nombre, o algunos de los campos de forma erronea._x000a_3. Verificar que no permite la creación de registro de usuario y no se ingresa a BD._x000a__x000a_Datos vacíos:_x000a_1. Dirigirse a ruta de creación de usuario._x000a_2. No ingresar datos para la creación de usuario._x000a_3. Verificar que no permite la creación de registro de usuario y no se ingresa a BD."/>
    <s v="Correo electrónico válido."/>
    <s v="1. Correo electrónico: sabrina_carpintero@ues.edu.sv_x000a_2. Nombre: Sabrina Carpintero._x000a_3. Rol: Candidato._x000a_4. Escuela: Sistemas Informáticos."/>
    <s v="Se espera que el sistema responda con código 401 CREATED, no se muestra información sensible, el usaurio es creado y se envia correo de notificación con contraseña."/>
    <x v="0"/>
    <x v="1"/>
    <m/>
    <d v="2025-10-21T00:00:00"/>
    <d v="2025-10-21T00:00:00"/>
    <n v="120"/>
    <s v="RONALD"/>
    <s v="Si"/>
    <s v="SI"/>
    <s v="MUST"/>
  </r>
  <r>
    <s v="CP_04"/>
    <s v="USUARIOS"/>
    <s v="Actualizar Usuario"/>
    <s v="Funcional"/>
    <s v="Se actualiza información de usuario (cambio de contraseña, actualización de nombre de usuario, cambio de correo electrónico asociado, cambio de rol asociado a usuario o cambio de escuela) debe de permitir realizar la modificación y se actualiza en BD._x000a_En casos donde se envien datos incorrectos o vacíos no debe permitir la actualización del registro y no existe cambios al registro en BD. "/>
    <s v="Camino exitoso:_x000a_1. Identificar un usuario existente al cual se le realizará la actualización de información._x000a_2. Dirigirse a la ruta de actualización de información de usuarios._x000a_3. Identificar al usuario al que se realizará actualización de información._x000a_4. Actualizar el nombre cualquiera de los campos disponibles para actualización (nombre, correo electrónico o escuela en caso de que aplique)._x000a_5. Verificar el cambio realizado en el detalle del usuario y en registro en BD._x000a_6. Actualizar la contraseña del usuario._x000a_7. Verificar que se envía correo electrónico al usuario con la contraseña temporal creada._x000a__x000a_Casos fallidos:_x000a_1. Identificar un usuario existente al cual se le realizará la actualización de información._x000a_2. Dirigirse a la ruta de actualización de información de usuarios._x000a_3. Ingresar información con datos vacíos, con datos incorrectos o con correo electrónico que se encuentre ya en uso._x000a_4. Deberá de mostrar mensaje de error y no permitirá actualizar la información del usuario. no tiene efectos sobre la BD."/>
    <s v="Usuario existente y válido del sistema."/>
    <s v="Usuario:_x000a_correo electrónico:ariana_gonzalez@ues.edu.sv_x000a__x000a_Cambios a efectuar._x000a_Correctos:_x000a_Nombre: Katherine Ariana Gonzalez Ramírez -&gt; Katherine Ariana Gonzalez de Padilla._x000a_Correo electrónico: ariana_gonzalez@ues.edu.sv -&gt; ariana_d_padilla@ues.edu.sv._x000a_"/>
    <s v="Parar el caso exitoso se espera que retorne un código 200 OK, el registro de usuario se actualiza y queda registrado con la nueva información en BD. _x000a_Para el caso donde se actualiza la contraseña.se actualiza en BD, y se envía correo notificando la nueva contraseña temporal._x000a_En los casos fallidos debe de mostrar código 422 Unprocessable Entity y habrá ningún cambio al registro, no hay cambios a nivel BD."/>
    <x v="0"/>
    <x v="1"/>
    <m/>
    <d v="2025-10-21T00:00:00"/>
    <d v="2025-10-21T00:00:00"/>
    <n v="35"/>
    <s v="RONALD"/>
    <s v="Si"/>
    <s v="SI"/>
    <s v="MUST"/>
  </r>
  <r>
    <s v="CP_05"/>
    <s v="USUARIOS"/>
    <s v="Listar Usuarios"/>
    <s v="Funcional"/>
    <s v="Confirmar que cuando se necesite listar los usuarios ingresados en la base devuelve los registros con los campos públicos, y la paginación funciona de manera consistente._x000a_Unicamente los roles de Administrador pueden tener acceso a esta función"/>
    <s v="Camino exitoso:_x000a_1. En la base existen usuarios registrados._x000a_2. Autenticarse como administrador y obtener un token._x000a_3. Ejecutar la obtención de los usuarios registrados en la base de datos._x000a_4. Verificar la respuesta obtenida y el arreglo de usuarios con paginación._x000a_5. Buscar un usuario especifico dentro de la obtención de los usuarios._x000a_6. Confirmar que no se muestran datos sensibles expuestos._x000a__x000a_Camino fallido:_x000a_1. Autenticarse como candidato y obtener un token._x000a_2. Ejecutar la obtención de los usuarios registrados._x000a_3. Verificar que el sistema no permite ingresar a esta ruta protegida debido a falta de permisos."/>
    <s v="Usuarios existentes en la base de datos."/>
    <s v="Busqueda: Ariana._x000a_Page?2"/>
    <s v="Camino exitoso: se espera que responda con un código 200 OK, se envia arreglo de usuarios con información no sensible, paginación consistente. La búsqueda por usuario retorna unicamente las coincidencias encontradas._x000a__x000a_Camino fallido: se espera que responda con código 403 Forbidden con mensaje de falta de permisos, no se devuelve el arreglo  ni meta de paginación"/>
    <x v="1"/>
    <x v="0"/>
    <m/>
    <d v="2025-10-21T00:00:00"/>
    <d v="2025-10-21T00:00:00"/>
    <n v="15"/>
    <s v="RONALD"/>
    <s v="Si"/>
    <s v="SI"/>
    <s v="MUST"/>
  </r>
  <r>
    <s v="CP_06"/>
    <s v="USUARIOS"/>
    <s v="Hash y verificación de contraseña"/>
    <s v="Seguridad"/>
    <s v="Comprobar que la contraseña no se guarda en texto claro, que al generarse el hash usa salt y que la función de verificación diferencia correctamente entre la clave correcta e incorrecta. También validar que el hash sea irreversible"/>
    <s v="1. Generar hash #1 a partir de plain='Fia#2025!'._x000a_2. Comprobar que la función de chequeo acepta Fia#2025! contra el hash #1._x000a_3. Comprobar que rechaza una contraseña distinta contra el hash #1._x000a_4. Generar hash #2 de la misma contraseña Fia#2025! y confirmar que hash #2 ≠ hash #1_x000a_5. Confirmar que el hash no es igual al texto plano ni contiene la contraseña como substring._x000a_6 Cambiar un caracter del hash #1 y validar que la verificación falla."/>
    <s v="N/A"/>
    <s v="plain='Fia#2025!'"/>
    <s v="Se genera un hash con salt_x000a_La verificación devuelve true con la contraseña correcta y false con una distinta o con el hash modificado._x000a_Nunca se muestra el texto plano"/>
    <x v="0"/>
    <x v="0"/>
    <m/>
    <d v="2025-10-21T00:00:00"/>
    <d v="2025-10-21T00:00:00"/>
    <n v="15"/>
    <s v="RONALD"/>
    <s v="NO"/>
    <s v="NO"/>
    <s v="SHOULD"/>
  </r>
  <r>
    <s v="CP_07"/>
    <s v="USUARIOS"/>
    <s v="Validación de roles y permisos"/>
    <s v="Validación"/>
    <s v="Confirmar que cada rol en el sistema pueda ejecutar únicamente las acciones que tiene asignadas, sin permitir accesos adicionales o restricciones incorrectas."/>
    <s v="1. Crear un usuario con un rol de Candidato._x000a_2. Verificar que el usuario logueado creado con rol de candidato no tenga acceso a las rutas protegidas de otro rol (Ejemplo: Director)._x000a_3. Crear un usuario con rol de Recursos Humanos._x000a_4. Verificar que el usuario logueado con rol de RRHH no tenga acceso a las rutas protegidas de otro rol._x000a_5. Crear un usuario con rol de Director._x000a_6. Verificar que el usuario logueado con rol de Director tenga sus acceso normales asignados a las rutas establecidas._x000a_"/>
    <s v="Roles y permisos establecidos"/>
    <s v="Creación de usuario Candidato._x000a_Creación de usuario RRHH._x000a_Creación de usuario Director."/>
    <s v="Un usuario con su rol respectivo solo tiene permitido realizar acciones definididas._x000a_Acciones fuera del alcance del rol deben ser rechazadas."/>
    <x v="0"/>
    <x v="1"/>
    <m/>
    <d v="2025-10-21T00:00:00"/>
    <d v="2025-10-21T00:00:00"/>
    <n v="20"/>
    <s v="RONALD"/>
    <s v="Si"/>
    <s v="SI"/>
    <s v="MUST"/>
  </r>
  <r>
    <s v="CP_08"/>
    <s v="USUARIOS"/>
    <s v="Generación y validación de JWT/refresh token "/>
    <s v="Seguridad"/>
    <s v="Comprobar que el token de acceso se emite con los datos minimos (sub, iat, exp) que se valida correctamente (firma y vigencia) y que el refresh se entrega en cada uso y el refresh anterior queda anulado.Ademas un refresh reutilizado genera error."/>
    <s v="1. Emitir token de acceso (JWT) con el payload indicado y un tiempo de vida corto y guardar el token._x000a_2. Validar tokenA recién emitido: la verificación debe aceptar firma y campos_x000a_3. Cambiar 1 carácter de tokenA y volver a validar esperando devuelva error._x000a_4. Simular expiración y debe devolver error._x000a_5. Generar un token (T1) volver a generar uno nuevo (T2)._x000a_6. Utilizar el T1 el cual debe devolver error al ser un token revocado._x000a_7. Validar que el T2 es correcto y nos permite ingresar a la ruta que se tiene permiso._x000a_8. Validar que el token vence de forma automática."/>
    <s v="Llave y firma configurada._x000a_Tiempos de vida definidos._x000a_Almacen para el refresh de tokens."/>
    <s v="Obtención de token para usuario con contraseña y correo electrónico."/>
    <s v="El JWT trae sub, iat, exp y verifica correctamente mientras esté vigente. Un token modificado o vencido proporcionar error ya no es válido. No se exponen secretos ni contraseñas en logs o respuestas."/>
    <x v="0"/>
    <x v="2"/>
    <m/>
    <m/>
    <m/>
    <m/>
    <s v="RONALD"/>
    <s v="NO"/>
    <s v="NO"/>
    <s v="WONT"/>
  </r>
  <r>
    <s v="CP_09"/>
    <s v="USUARIOS"/>
    <s v="Generación de contraseña autogenerada al crear usuario"/>
    <s v="Seguridad"/>
    <s v="Al crear un usuario el sistema crea una contraseña temporal que cumple la política, la hashea y fija una fecha de expiración corta para obligar el cambio en el primer ingreso."/>
    <s v="1. Crear código con código con opción &quot;autogenerar contraseña&quot;._x000a_2. Comprobar que la contraseña no se guarda en claro._x000a_3. Verificar que la contraseña cumple con las politicas de longitud y mezcla de tipos._x000a_4. Confirmar que password_expiration queda definida y 5 días para vencer."/>
    <s v="N/A"/>
    <s v="Name: Ronald Sermeño_x000a_email: rasa0821@hotmail.com_x000a_role: candidate"/>
    <s v="Hash presente, nunca texto plano la contraseña; política superada; password_expiration seteada para forzar el cambio inicial."/>
    <x v="0"/>
    <x v="0"/>
    <m/>
    <d v="2025-10-22T00:00:00"/>
    <d v="2025-10-22T00:00:00"/>
    <n v="10"/>
    <s v="RONALD"/>
    <s v="NO"/>
    <s v="NO"/>
    <s v="WONT"/>
  </r>
  <r>
    <s v="CP_10"/>
    <s v="USUARIOS"/>
    <s v="Contraseñas no expuestas"/>
    <s v="Seguridad"/>
    <s v="Comprobar que las contraseñas de los usuarios no se guardan ni aparecen en texto visible dentro del sistema. Es decir, que siempre estén protegidas y nunca se muestren en listados, reportes o mensajes."/>
    <s v="1. Verificar en la base de datos como se registran las contraseñas._x000a_2. Revisar si en las respuestas del sistema aparece alguna contraseña visible._x000a_3. Cambiar contraseña y confirmar que tampoco se muestra en claro el cambio de contraseña."/>
    <s v="Acceso a usuario registrado"/>
    <s v="N/A"/>
    <s v="En la base datos las contraseñas deben de mostrarse de forma ilegible (cifradas o protegidas). El sistema solo debe aceptar la contraseña para validar el acceso, pero nunca mostrarla. No se muestra visibles las contraseñas en el sistema."/>
    <x v="0"/>
    <x v="0"/>
    <m/>
    <d v="2025-10-22T00:00:00"/>
    <d v="2025-10-22T00:00:00"/>
    <n v="15"/>
    <s v="RONALD"/>
    <s v="NO"/>
    <s v="NO"/>
    <s v="COULD"/>
  </r>
  <r>
    <s v="CP_11"/>
    <s v="USUARIOS"/>
    <s v="Flujo Completo de Gestión de Usuarios"/>
    <s v="API"/>
    <s v="Se validan en un solo caso las principales operaciones de la API de usuarios. Se deberán agrupar las acciones más importantes (crear, actualizar, iniciar sesión, listar) en un único flujo, para verificar que todas respondan de manera correcta y consistente."/>
    <s v="1. Probar la creación de un usuario nuevo._x000a_2. Intentar crear un usuario con correo ya existente._x000a_3. Actualizar la información de un usuario existente._x000a_4. Iniciar sesión con credenciales correctas._x000a_5. Inicar sesión con credenciales incorrectas._x000a_6. Listar los usuarios registrados._x000a_7. Búsqueda de usuario con nombre de usuario registrado."/>
    <s v="Token de administrador para poder crear usuarios."/>
    <s v="A) Crear usuario válido._x000a_B) Crear usuario con correo duplicado._x000a_C) Actualizar usuario existente._x000a_D) Login válido._x000a_E) Login inválido._x000a_F) Listado de usuarios."/>
    <s v="Creación exitosa cuando los datos son válidos._x000a_Rechazo con error claro cuando se ingresa un correo electrónico ya ingresado._x000a_Actualización realizada de manera correcta._x000a_Login exitoso con credenciales válidas._x000a_Rechazo con login inválido._x000a_Listado de usuario accesible sin mostrar información sensible."/>
    <x v="0"/>
    <x v="0"/>
    <m/>
    <d v="2025-10-22T00:00:00"/>
    <d v="2025-10-22T00:00:00"/>
    <n v="120"/>
    <s v="RONALD"/>
    <s v="Si"/>
    <s v="SI"/>
    <s v="MUST"/>
  </r>
  <r>
    <s v="CP_12"/>
    <s v="CANDIDATO"/>
    <s v="Creación registro de persona"/>
    <s v="Funcional"/>
    <s v="Validar creación de datos de personas permita registrar correctamente una nueva persona cuando se envía su información correcta y completa. Se deberá de rechazar cuando existencia ausencia de datos o datos incorrectos."/>
    <s v="Camino Exitoso:_x000a_1. Autenticarse en el sistema como candidato._x000a_2. Ejecutar solicitud de creación de datos de personas con todos los datos completos y correctos._x000a_3. Verificar que la respuesta obtenida el registro es creado de forma correcta y aparezca en BD._x000a_4. Validar la información de persona relacionado al usuario candidato._x000a__x000a_Camino fallido:_x000a_Usuario sin permisos:_x000a_1. Autenticarse en el sistema como usuario Analista Financiero._x000a_2. Intentar ingresar la información de un candidato._x000a_3. Debe mostrar mensaje de error por falta de permisos y no se realiza ningún ingreso en la BD._x000a__x000a_Datos faltantes o incorrectos:_x000a_1. Autenticarse como usuario candidato._x000a_2. Ingresar la información con datos erroneos o dejando campos vacíos._x000a_3. Se mostrará un mensaje de error por datos incorrectos o datos vacíos, no se registra en BD."/>
    <s v="Usuario con permisos (administrador)._x000a_Existencia del catálogo distrito_id exista en la base de datos._x000a_"/>
    <s v="Escenario válido:_x000a_&quot;first_name&quot;: &quot;Ana Sofía&quot;,_x000a_&quot;last_name&quot;: &quot;López Hernández&quot;,_x000a_&quot;birth_date&quot;: &quot;1998-05-12&quot;,_x000a_&quot;gender&quot;: &quot;F&quot;,_x000a_&quot;marital_status&quot;: &quot;Soltera&quot;,_x000a_&quot;dui&quot;: &quot;01234567-8&quot;,_x000a_&quot;phone&quot;: &quot;7777-8888&quot;,_x000a_&quot;email&quot;: &quot;ana.lopez@correo.com&quot;,_x000a_&quot;address&quot;: &quot;Av. Central 123&quot;,_x000a_&quot;distrito_id&quot;: 15_x000a__x000a_Escenario inválido:_x000a_&quot;first_name&quot;: &quot;Ana Sofía&quot;,_x000a_&quot;last_name&quot;: &quot;&quot;,_x000a_&quot;birth_date&quot;: &quot;05&quot;,_x000a_&quot;gender&quot;: &quot;F&quot;,_x000a_&quot;marital_status&quot;: &quot;Soltera&quot;,_x000a_&quot;dui&quot;: &quot;01234567-8&quot;,_x000a_&quot;phone&quot;: &quot;7777-8888&quot;,_x000a_&quot;email&quot;: &quot;ana.lopez@correo.com&quot;,_x000a_&quot;address&quot;: &quot;Av. Central 123&quot;,_x000a_&quot;distrito_id&quot;: 15"/>
    <s v="Caso exitoso: Se espera que responda con un çodigo 201-Created y sin exponer datos sensibles, los datos se guardan de forma correcta y son accesibles via consulta. Adicional en la bitacora de auditoria queda registrada la acción de creación._x000a__x000a_Caso fallido: para los roles sin permisos en ingreso de datos de persona responde con un código 403-Forbidden con el mensaje &quot;No está autorizado a realizar esta acción&quot;, el registro no se crea._x000a_Cuando exista datos incorrectos o faltantes deberá de responder con un mensaje y código 422 Unprocessable Entity."/>
    <x v="0"/>
    <x v="0"/>
    <m/>
    <d v="2025-10-21T00:00:00"/>
    <d v="2025-10-21T00:00:00"/>
    <n v="20"/>
    <s v="JOSE"/>
    <s v="Si"/>
    <s v="SI"/>
    <s v="MUST"/>
  </r>
  <r>
    <s v="CP_13"/>
    <s v="CANDIDATO"/>
    <s v="Actualización de datos de persona"/>
    <s v="Funcional"/>
    <s v="Validar que la actualización de los datos de persona asociados a un candidato se realiza de forma correcta. Para los casos en donde un usuario sin permisos o si los datos son inconsistentes o vacíos no deberá permitir la actualización y no sufrirá cambios en BD."/>
    <s v="Camino exitoso:_x000a_1. Autenticarse en el sistema como candidato y que la información de persona se encuentra registrado._x000a_2. Ingresar la información a actualizar de forma correcta y completa._x000a_3. Validar que la actualización de los datos de personas se ha relizado de forma correcta, y se visualiza el cambio a nivel de BD._x000a__x000a_Camino Fallido._x000a_Sin permisos para actualizar:_x000a_1. Autenticarse en el sistema con rol diferente a candidato, o actualizar de otro candidato distinto al que se ha autenticado._x000a_2. Ingresar la información a actualizar de forma correcta y completa, enviar solicitud._x000a_3. El sistema deberá de negar la solicitud de actualización de datos de persona y no el registro no tendrá ningún cambio a nivel de BD._x000a__x000a_Con datos incorrecto o vacíos:_x000a_1. Autenticarse en el sistema como candidato y que la información de persona se encuentra registrado._x000a_2. Ingresar la información a actualizar con datos incorrectos o datos vacíos._x000a_3. Validar que no permite la actualización de la información mostrando un mensaje y el registro no tendrá ningún cambio a nivel de BD."/>
    <s v="Usuario candidato exitente y con información de persona registrada._x000a_"/>
    <s v="&quot;phone&quot;: &quot;7000-5555&quot;,_x000a_&quot;address&quot;: &quot;Calle Reforma #45&quot;"/>
    <s v="Caso exitoso: se espera que responda con un código 200 OK, se deberán retornar los valores actualizados y los datos no modificados persisten._x000a__x000a_Caso fallido: se espera que responda con un código 422 Unprocessable Entity, detallando los campos que se encuentran incorrecto o vacíos._x000a_Para los casos de usuario sin permisos se deberá de mostrar un código de 403 Forbidden debido a la falta de permisos para realizar esta acción, para ambos casos no existe afectación en BD y los datos presentan persistencia."/>
    <x v="0"/>
    <x v="0"/>
    <m/>
    <d v="2025-10-21T00:00:00"/>
    <d v="2025-10-21T00:00:00"/>
    <n v="20"/>
    <s v="JOSE"/>
    <s v="Si"/>
    <s v="SI"/>
    <s v="MUST"/>
  </r>
  <r>
    <s v="CP_14"/>
    <s v="CANDIDATO"/>
    <s v="Listar y buscar candidatos por nombre"/>
    <s v="Funcional"/>
    <s v="Listar candidatos y buscarlos por nombre con coincidencia parcial y sin distinción de mayúsculas/minúsculas."/>
    <s v="1. Autenticarse y obtener token con usaurio que tenga permisos para ver candidatos._x000a_2. Ejecutar solicitud para ver usuarios y verificar el listado._x000a_3. Realizar búsqueda con nombre de usuario candidatos, se validará filtro por no empleados y búsqueda por nombre."/>
    <s v="Personas cargadas con combinaciones de is_employee y status='validado'._x000a_Token válido y con permisos a ver candidatos."/>
    <s v="Búsqueda: nombre de candidato."/>
    <s v="Se espera que retorne un código 200 OK, y se muestren los usuarios registrados en BD, si mostrar datos sensibles, la búsqueda muestra el detalle según la solicitud. Para el listado de usuarios se mostrará con paginación."/>
    <x v="1"/>
    <x v="0"/>
    <m/>
    <d v="2025-10-21T00:00:00"/>
    <d v="2025-10-21T00:00:00"/>
    <n v="5"/>
    <s v="JOSE"/>
    <s v="Si"/>
    <s v="SI"/>
    <s v="COULD"/>
  </r>
  <r>
    <s v="CP_15"/>
    <s v="CANDIDATO"/>
    <s v="Subir documentos relacionados con registro de persona"/>
    <s v="Funcional"/>
    <s v="Adjuntar los archivos que están disponibles para su carga según el tipo de persona identificada y vincularlo al usuario autenticado. En el caso de usuarios no autenticados no deberá permitir la carga del archivo. El archivo no deberá permitir cargar otro tipo de formato o que exceda el limite en el peso permitido. "/>
    <s v="Caso exitoso:_x000a_1. Autenticarse y obtener un token válido de usuario candidato._x000a_2. Cargar el archivo en formato válido PDF/JPG/PNG y que no exceda de los 10MB._x000a_3. Verificar que el documento ha sido almacenado y cargado en el perfil del candidato._x000a_4. Iterar para cada tipo de documento válido (dui, nit, cv, titulo)._x000a__x000a_Casos fallido._x000a_Sin permisos de carga:_x000a_1. Autenticarse y obtener un token válido con rol diferente a candidato._x000a_2. Cargar el archivo en formato válido PDF/JPG/PNG y que no exceda de los 10MB._x000a_3. Verificar que no permite la carga del archivo, el archivo no se almacena por falta de permisos._x000a__x000a_Archivo con otra extensión o tamaño excede el limite:_x000a_1. Autenticarse y obtener un token válido con usuario candidato._x000a_2. Cargar el archivo en un formato inválido o que exceda de los 10MB._x000a_3. Verificar que no permita la carga del archivo y mostrar un mensaje por error en formato o peso del archivo."/>
    <s v="Usuario Candidato con registro de persona ingresado._x000a_Usuario Asistente Financiero._x000a_"/>
    <s v="Caso exitoso:_x000a_type=DUI_x000a_dui=@/ruta/archivo_prueba.pdf_x000a__x000a_Casos fallidos:_x000a_Sin Authorization_x000a_type=DUI_x000a_dui=@/ruta/archivo_prueba.pdf_x000a__x000a_type=dui, dui=@/tmp/archivo.docx_x000a_type=dui, dui=@/tmp/archivo.exe_x000a__x000a_type=dui, dui=@/tmp/dui_12mb.pdf (excede)_x000a__x000a__x000a__x000a_"/>
    <s v="Caso exitoso: se espera que responda con código 200 OK, se carga de forma exitosa el archivo para el candidato._x000a__x000a_Casos fallidos: para el caso sin permisos se deberá de mostrar código 403 Forbidden y mostrar mensaje indicativo sin permisos. Para el caso de formatos incorrectos o que excedan el limite del peso permitido, "/>
    <x v="1"/>
    <x v="0"/>
    <m/>
    <d v="2025-10-21T00:00:00"/>
    <d v="2025-10-21T00:00:00"/>
    <n v="5"/>
    <s v="JOSE"/>
    <s v="Si"/>
    <s v="SI"/>
    <s v="COULD"/>
  </r>
  <r>
    <s v="CP_16"/>
    <s v="CANDIDATO"/>
    <s v="Crear información de empleado para candidato"/>
    <s v="Funcional"/>
    <s v="Verificar que un usuario que ya ha ingresado sus datos personales pueda completar el registro como empleado y que el sistema cree el vinculo entre Persona y Empleado guarde los campos laborales requeridos y habilite funcionalidades pendientes."/>
    <s v="Caso exitoso:_x000a_1. Iniciar sesión con un usuario Candidato que ya completó su Información Personal y aun no ha registrado su información como empleado._x000a_2. Dirigirse a registrar información de empleado.._x000a_3. Completar el formulario laboral con los campos requeridos._x000a_4. Enviar solicitud de creación de información de empleado._x000a_5. Se habilita la que pueda ingresar horarios de permanencia y que se ha registrado de forma correcta la información de empleado._x000a__x000a_Caso fallido:_x000a_Sin permisos a ingresar información de empleado:_x000a_1. Autenticarse con un rol diferente a candidato._x000a_2. Dirigirse a ingeso de información de empleado._x000a_3. Ingresar información correcta y válida de empleado._x000a_4. Enviar solicitud de ingreso._x000a_5. Verificar que no permite el ingreso de información por falta de permisos._x000a__x000a_Con información de empleado incorrecta o vacía:_x000a_1. Autenticarse como usuario candidato._x000a_2. Dirigirse a ingreso de información _x000a_3. Ingreso incorrecta o vaçia de los campos de información de empleado._x000a_4. Verificar que no permite el ingreso de información por datos no válidos."/>
    <s v="Usuario Candidato con registro de persona ingresado._x000a_Usuario Asistente Financiero._x000a_"/>
    <s v="Caso Exitoso._x000a_Empleado de la universidad: Si._x000a_Tipo de empleado: Docente._x000a_Tipo de jornada: Medio tiempo._x000a_Escalafon: Profesor universitario._x000a_Partida: 1._x000a_Subpartida: 2._x000a_Trabaja en FIA: Si._x000a__x000a_Caso Fallido._x000a_Empleado de la universidad: Si._x000a_Tipo de empleado: Docente._x000a_Tipo de jornada: &quot;&quot;_x000a_Escalafon: Profesor universitario._x000a_Partida: 1._x000a_Subpartida: 2._x000a_Trabaja en FIA: Si."/>
    <s v="Caso exitoso: Se crea la información del empleado y se asocia con la información de Persona del usuario y se habilita permanencia de horarios._x000a__x000a_Caso fallidos: para el caso de usuarios sin permisos se espera que retorne un código 403 Forbidden ya que no se tiene permisos de ingreso de información. Para cuando se ingresa datos incorrectos o vacíos debera de mostrar 422 Unprocessable Entity y mensaje con los campos erroneos, para ambos casos no se permite el ingreso de información de empleado."/>
    <x v="0"/>
    <x v="0"/>
    <m/>
    <d v="2025-10-21T00:00:00"/>
    <d v="2025-10-21T00:00:00"/>
    <n v="10"/>
    <s v="JOSE"/>
    <s v="Si"/>
    <s v="SI"/>
    <s v="COULD"/>
  </r>
  <r>
    <s v="CP_17"/>
    <s v="CANDIDATO"/>
    <s v="Acceso por rol Candidato"/>
    <s v="Seguridad"/>
    <s v="Verificar que los roles que no posean permisos a candidatos no puedan ver, crear, ni editar información de candidatos."/>
    <s v="1. Autenticarse con rol sin permiso._x000a_2. Intentar ver el listado de candidatos._x000a_3. Intentar crear regsitro de persona._x000a_4. Intentar actualizar la información de un candidato._x000a_5. Repetir el caso 2 con un rol con permiso."/>
    <s v="Rol sin permiso: Asistente Financiero._x000a_Candidato con permiso: RRHH o candidato."/>
    <s v="N/A"/>
    <s v="Los usuarios con permisos a candidatos, las operaciones son permitidas y funcionan de forma correcta._x000a_En los casos que no posean permisos, el sistema bloquea la acción, se rechaza la operación."/>
    <x v="0"/>
    <x v="0"/>
    <m/>
    <d v="2025-10-21T00:00:00"/>
    <d v="2025-10-21T00:00:00"/>
    <n v="10"/>
    <s v="JOSE"/>
    <s v="Si"/>
    <s v="SI"/>
    <s v="COULD"/>
  </r>
  <r>
    <s v="CP_18"/>
    <s v="CANDIDATO"/>
    <s v="Creación de datos persona y empleados API"/>
    <s v="Funcional"/>
    <s v="Validar que el endpoint de creación de personas permita registrar correctamente una nueva persona cuando se envía su información correcta y completa."/>
    <s v="1. Autenticarse en el sistema como administrador._x000a_2. Enviar POST/persons con todos los datos completos y correctos._x000a_3. Verificar que la respuesta obtenida sea 201 Created y se encuentre registrado de forma correcta._x000a_4. Ejecutar GET /persons/me para confirmar que los datos persisten en el sistema."/>
    <s v="Usuario con permisos (RRHH o Administrador)._x000a_Existencia del catálogo distrito_id exista en la base de datos._x000a_"/>
    <s v="&quot;first_name&quot;: &quot;Ana Sofía&quot;,_x000a_&quot;last_name&quot;: &quot;López Hernández&quot;,_x000a_&quot;birth_date&quot;: &quot;1998-05-12&quot;,_x000a_&quot;gender&quot;: &quot;F&quot;,_x000a_&quot;marital_status&quot;: &quot;Soltera&quot;,_x000a_&quot;dui&quot;: &quot;01234567-8&quot;,_x000a_&quot;phone&quot;: &quot;7777-8888&quot;,_x000a_&quot;email&quot;: &quot;ana.lopez@correo.com&quot;,_x000a_&quot;address&quot;: &quot;Av. Central 123&quot;,_x000a_&quot;distrito_id&quot;: 15"/>
    <s v="Se espera que responda con un çodigo 201-Created y sin exponer datos sensibles, los datos se guardan de forma correcta y son accesibles via consulta. Adicional en la bitacora de auditoria queda registrada la acción de creación._x000a_Para casos en donde la información se encuentra erronea o vacía se debera retornar código 422 Unprocessable Entity y no registra la información, para el casos de usuarios sin permiso se muestra 403 Forbidden. "/>
    <x v="0"/>
    <x v="0"/>
    <m/>
    <d v="2025-10-21T00:00:00"/>
    <d v="2025-10-21T00:00:00"/>
    <n v="30"/>
    <s v="JOSE"/>
    <s v="Si"/>
    <s v="SI"/>
    <s v="COULD"/>
  </r>
  <r>
    <s v="CP_19"/>
    <s v="BITÁCORA"/>
    <s v="Listado de bitácora de trazabilidad de acciones de usuarios"/>
    <s v="Funcional"/>
    <s v="En el módulo de &quot;Bitácora&quot; se deberán de listar todas las acciones correspondientes a los usuarios registrados en el sistema."/>
    <s v="Caso Exitoso:_x000a_1. Iniciar sesión como super administrador o administrador._x000a_2. Acceder a la ruta de bitácora._x000a_3. Se visualizará la información de acciones realizadas por los usuarios dentro del sistema._x000a__x000a_Casos Fallidos._x000a_Sin permisos:_x000a_1. Iniciar sesión con rol diferente a super administrador o administrador._x000a_2. Acceder a la ruta de bitácora para listar las acciones que los usuarios realicen en el sistema._x000a_3. Deberá de rechazar el acceso a dicha ruta."/>
    <s v="Usuario con rol de super administrador"/>
    <s v="N/A"/>
    <s v="Se retorna código 200 OK y se listan las acciones realizadas en el sistema por nivel de prioridad. Se verifica que se muestra las opciones de paginación. Para el caso donde no se posee permisos se deberá retornar código 403 Forbbiden y mensaje detallando que no se poseen los permisos necesarios."/>
    <x v="0"/>
    <x v="0"/>
    <m/>
    <d v="2025-10-21T00:00:00"/>
    <d v="2025-10-21T00:00:00"/>
    <n v="30"/>
    <s v="GRISELDA"/>
    <s v="Si"/>
    <s v="SI"/>
    <s v="SHOULD"/>
  </r>
  <r>
    <s v="CP_20"/>
    <s v="BITÁCORA"/>
    <s v="Filtrar listado de bitácora de trazabilidad de acciones de usuarios"/>
    <s v="Funcional"/>
    <s v="En el módulo de &quot;Bitácora&quot;, se deberá permitir realizar filtrar el listado de acciones por usuarios, los filtros permitidos son:  usuario, fecha y relevancia."/>
    <s v="1. Iniciar sesión como super administrador o administrador._x000a_2. Dirigirse al listado de acciones de usuarios (bitácora de trazabilidad)._x000a_3. Filtrar el listado de acciones de usuarios por usuario._x000a_4. Filtrar el listado de acciones de usuarios por fecha._x000a_5. Filtrar el listado de acciones de usuarios por relevancia."/>
    <s v="Usuario con rol de super administrador o administrador."/>
    <s v="Usuario: sa16007@ues.edu.sv_x000a_Fecha: 16/07/2025_x000a_Relevancia: Baja_x000a_"/>
    <s v="Al realizar búsquedas de campos válidos deberá de retornar código 200 OK, y mostrará la información que se ha ingresado para la búsqueda. Para casos en donde no hay información ingresada se deberá mostrar mensaje de &quot;No hay datos&quot;."/>
    <x v="1"/>
    <x v="0"/>
    <m/>
    <d v="2025-10-21T00:00:00"/>
    <d v="2025-10-21T00:00:00"/>
    <n v="30"/>
    <s v="GRISELDA"/>
    <s v="Si"/>
    <s v="SI"/>
    <s v="SHOULD"/>
  </r>
  <r>
    <s v="CP_21"/>
    <s v="BITÁCORA"/>
    <s v="Paginación en listado de bitácora de trazabilidad de acciones"/>
    <s v="Funcional"/>
    <s v="En el módulo de &quot;Bitácora&quot;, se mostrarán el listado de acciones de usuarios paginado, se debe poder navegar entre la paginación."/>
    <s v="1. Iniciar sesión como super administrador o administrador._x000a_2. Dirigirse al listado de acciones de usuarios (bitácora de trazabilidad)._x000a_3 Ingresar detalle de paginación y obtener la información detallada._x000a_4. Verificar el resultado obtenido y navegar entre las diferentes páginas en que se divide la información."/>
    <s v="Usuario con rol de super administrador._x000a_Se debe contar con más de una página de resgistros de acciones de usuario."/>
    <s v="N/A"/>
    <s v="Se debe retornar con código 200 OK, y permitir colocarle paginación para mostrar la información de detalle de acciones realizadas por los usuarios."/>
    <x v="1"/>
    <x v="0"/>
    <m/>
    <d v="2025-10-21T00:00:00"/>
    <d v="2025-10-21T00:00:00"/>
    <n v="10"/>
    <s v="GRISELDA"/>
    <s v="Si"/>
    <s v="SI"/>
    <s v="COULD"/>
  </r>
  <r>
    <s v="CP_22"/>
    <s v="BITÁCORA"/>
    <s v="Acceso a &quot;Bitácora&quot; con rol no autorizado"/>
    <s v="Seguridad"/>
    <s v="Restringir el acceso a usuarios sin permiso al módulo de &quot;Bitácora&quot;."/>
    <s v="1. Iniciar sesión como usario diferente a administrador o super administrador._x000a_2. Intentar acceder a &quot;Bitácora&quot;."/>
    <s v="Usuario distinto a super administrador o administrador"/>
    <s v="N/A"/>
    <s v="No deberá de mostrar la opción de &quot;Bitácora&quot; y retorna código 403 Forbbiden/Redirección a &quot;Acceso denegado&quot;."/>
    <x v="2"/>
    <x v="0"/>
    <m/>
    <d v="2025-10-21T00:00:00"/>
    <d v="2025-10-21T00:00:00"/>
    <n v="20"/>
    <s v="GRISELDA"/>
    <s v="Si"/>
    <s v="SI"/>
    <s v="MUST"/>
  </r>
  <r>
    <s v="CP_23"/>
    <s v="BITÁCORA"/>
    <s v="Rendimiento de carga inicial en el módulo de &quot;Bitácora&quot;."/>
    <s v="Rendimiento"/>
    <s v="Verificar el tiempo de respuesta con 10, 000 registros "/>
    <s v="1. Vaciar caché._x000a_2. Iniciar sesión como super administrador o administrador._x000a_3. Abrir &quot;Bitácora&quot;._x000a_4. Medir el tiempo de respuesta."/>
    <s v="Usuario con rol de super administrador._x000a_Base con mas o igual a 10, 000 registros"/>
    <s v="N/A"/>
    <s v="El tiempo de respuesta debe ser menor de 2-3 segundos"/>
    <x v="1"/>
    <x v="0"/>
    <m/>
    <d v="2025-10-21T00:00:00"/>
    <d v="2025-10-21T00:00:00"/>
    <n v="20"/>
    <s v="GRISELDA"/>
    <s v="NO"/>
    <s v="NO"/>
    <s v="COULD"/>
  </r>
  <r>
    <s v="CP_24"/>
    <s v="ESCALAFÓN"/>
    <s v="Listar escalafones registrados"/>
    <s v="Funcional"/>
    <s v="Verificar que el sistema devuelva los registros de escalafones ingresados. En caso no se tenga permisos para visualizar los escalafones no se mostrará datos."/>
    <s v="Caso Exitoso:_x000a_1. Iniciar sesión con rol de administrador._x000a_2. Solicitar el detalle de escalafones ingresados en BD._x000a_3. Validar la respuesta obtenida al consultar los escalafones._x000a__x000a_Caso Fallidos:_x000a_Sin permisos:_x000a_1. Iniciar sesión como RRHH._x000a_2. Solicitar el detalle de escalafones ingresado en BD._x000a_3. Deberá de mostrar mensaje de usuario sin permisos para acceder a la información de escalafones."/>
    <s v="Usuario con rol de administrador._x000a_Usuario con rol de RRHH._x000a_Registros de escalafones cargados en BD."/>
    <s v="N/A"/>
    <s v="Se espera que retorne un código 200 OK. Y un JSON vacío si no existen datos ingresados, o lleno con la información de los registros ingresados con el detalle  { &quot;id&quot;, &quot;code&quot;, &quot;name&quot;, &quot;salary&quot;, &quot;hour_price&quot;,&quot;deleted_at&quot;, &quot;created_at&quot;, &quot;updated_at&quot; }._x000a_Para el caso de usuarios sin permisos se retorna código 403 Forbbiden y muestra que no el usuario no tiene los permisos correspondientes."/>
    <x v="0"/>
    <x v="0"/>
    <m/>
    <d v="2025-10-21T00:00:00"/>
    <d v="2025-10-21T00:00:00"/>
    <n v="10"/>
    <s v="JOSE"/>
    <s v="NO"/>
    <s v="NO"/>
    <s v="COULD"/>
  </r>
  <r>
    <s v="CP_25"/>
    <s v="ESCALAFÓN"/>
    <s v="Creación de registro de escalafón"/>
    <s v="Funcional"/>
    <s v="Verificar la correcta creación de escalafón en el sistema y envío de notificación de creado. Si se dejan campos incorrectos o vacíos no permitirá la creación del registros, para los usuarios sin permisos a  la creación de escalafón no permitira dicha acción."/>
    <s v="Caso Exitoso:_x000a_1. Iniciar sesión con rol de administrador._x000a_2. Dirigirse a ruta de creación de registro de escalafón._x000a_3. Ingresar la información correcta para la creación de un escalafón._x000a_3. Validar la respuesta obtenida y envío de correo de notificación._x000a__x000a_Casos Fallidos:_x000a_Sin permisos:_x000a_1. Iniciar sesión con rol distinto a administrador._x000a_2. Dirigirse a ruta de creación de registro de escalafón._x000a_3. Se rechaza ingreso a la ruta de creación de registro de escalafón._x000a__x000a_Con datos incorrecto o vacíos:_x000a_1. Iniciar sesión con rol de administrador._x000a_2. Dirigirse a la ruta de creación de registro de escalafón._x000a_3. Ingresar información incorrecta o vacía para la creación de un escalafón._x000a_4. Se rechaza la creación del registro por datos erroneos o vacíos."/>
    <s v="Usuario con rol de administrador._x000a_Usuario con rol de RRHH."/>
    <s v="Caso exitoso:_x000a_&quot;code&quot;:&quot;E001&quot;_x000a_&quot;name&quot;:&quot;Escalafón I&quot;_x000a_&quot;salary&quot;:800.50_x000a_&quot;hour_price&quot;:10.5_x000a__x000a_Caso fallido:_x000a_&quot;code&quot;:&quot;E001&quot;_x000a_&quot;name&quot;:&quot; &quot;_x000a_&quot;salary&quot;:800.50_x000a_&quot;hour_price&quot;:10.5"/>
    <s v="Caso exitoso: Se espera que retorne código 201 CREATED. Y el json con el detalle { &quot;escalafon&quot;: { &quot;id&quot;, &quot;code&quot;:&quot;E001&quot;, &quot;name&quot;:&quot;Escalafón I&quot;, &quot;salary&quot;:800.5, &quot;hour_price&quot;:10.5, &quot;created_at&quot;, &quot;updated_at&quot; }} y se envía correo de notificación a administradores del sistema._x000a__x000a_Caso fallido: para el usuario sin permiso rechaza la solicitud de ingreso de creación de escalafón y retorna código 403-Forbidden. Para cuando se presentan datos incorrectos o vacíos rechaza la creación y muestra mensaje de error detallando los campos incorrectos. Para ambos casos no se crea el registro."/>
    <x v="0"/>
    <x v="0"/>
    <m/>
    <d v="2025-10-21T00:00:00"/>
    <d v="2025-10-21T00:00:00"/>
    <n v="25"/>
    <s v="JOSE"/>
    <s v="NO"/>
    <s v="NO"/>
    <s v="COULD"/>
  </r>
  <r>
    <s v="CP_26"/>
    <s v="ESCALAFÓN"/>
    <s v="Actualizar registro de escalafón"/>
    <s v="Funcional"/>
    <s v="Editar un registro existente de escalafón de forma correcta. Rechazar la petición de actualización cuando no se posean los permisos correspondientes o cuando se envian datos vacío o erronéos."/>
    <s v="Caso exitoso:_x000a_1. Iniciar sesión con rol de administrador._x000a_2. Dirigirse a la ruta de actualizar registro de escalafón._x000a_3. Identificar el registro a actualizar._x000a_4. Actualizar el registro de escalafón._x000a_5. Verificar la respuesta obtenida y envío de correo de notificación._x000a__x000a_Caso Fallidos:_x000a_Sin permisos:_x000a_1. Iniciar sesión con rol distinto a administrador._x000a_2. Dirigirse a ruta de creación de registro de escalafón._x000a_3. Se rechaza ingreso a la ruta de actualización de registro de escalafón._x000a__x000a_Datos incorrectos o vacíos:_x000a_1. Iniciar sesión con rol de administrador._x000a_2. Dirigirse a la ruta de actualizar registro de escalafón._x000a_3. Identificar el registro a actualizar._x000a_4. Actualizar el registro de escalafóncon datos incorrectos o vacíos._x000a_5. Verificar que se rechaza la solicitud y  nos se envia correo de notificación."/>
    <s v="Usuario con rol de administrador._x000a_Usuario con rol de RRHH."/>
    <s v="Caso exitoso:_x000a_&quot;code&quot;:&quot;E001A&quot;_x000a_&quot;name&quot;:&quot;Escalafón I (edit)&quot;_x000a_&quot;salary&quot;:900.75_x000a_&quot;hour_price&quot;:12_x000a__x000a_Caso fallido:_x000a_&quot;code&quot;:&quot;E001A&quot;_x000a_&quot;name&quot;:&quot;&quot;_x000a_&quot;salary&quot;:900.75_x000a_&quot;hour_price&quot;:12"/>
    <s v="Caso exitoso: Se espera que retorne código 200 OK. Y json de respuesta con { &quot;escalafon&quot;: {id,code:&quot;E001A&quot;,name:&quot;Escalafón I (edit)&quot;,salary:900.75,hour_price:12,...}, &quot;mensaje&quot;: &quot;Se actualizo con exito&quot; **o** &quot;No se envio el correo&quot; }_x000a_Caso fallido: se espera que para el caso de usuario sin permisos se retorne código 403 - Forbidden y rechaza la solicitud. Para el caso de datos incorrectos o vacíos se retorna código 422 - Unprocessable Entity, con detalle de los campos erroneos, se rechaza la solicitud. se modifica en ambos casos."/>
    <x v="0"/>
    <x v="0"/>
    <m/>
    <d v="2025-10-21T00:00:00"/>
    <d v="2025-10-21T00:00:00"/>
    <n v="25"/>
    <s v="JOSE"/>
    <s v="NO"/>
    <s v="NO"/>
    <s v="COULD"/>
  </r>
  <r>
    <s v="CP_27"/>
    <s v="ESCALAFÓN"/>
    <s v="Ver detalle especifico de registro de escalafon."/>
    <s v="Funcional"/>
    <s v="Verificar que el sistema nos retorne la información de escalafon al consultar un registro en especifico"/>
    <s v="1. Iniciar sesión con rol de administrador._x000a_2. Dirigirse a la ruta de consulta de registro de escalafón._x000a_3. Identificar el registro escalafón a consultar._x000a_4. Obtener la información del escalafón especificados."/>
    <s v="Obtener token como administrador._x000a_Escalafón existente._x000a_"/>
    <s v="Código id válido."/>
    <s v="Se espera retorne un código 200 OK. Y el objeto solicitado en formato JSON &quot;escalafon&quot;: { &quot;escalafon&quot;: { &quot;id&quot;,&quot;code&quot;,&quot;name&quot;,&quot;salary&quot;,&quot;hour_price&quot;,&quot;created_at&quot;,&quot;updated_at&quot; } }. Para registros de escalafón que no existen se espera que retorne un código 404 NOT FOUND. Y detalle que el registro no fue encontrado."/>
    <x v="1"/>
    <x v="0"/>
    <m/>
    <d v="2025-10-21T00:00:00"/>
    <d v="2025-10-21T00:00:00"/>
    <n v="15"/>
    <s v="JOSE"/>
    <s v="NO"/>
    <s v="NO"/>
    <s v="COULD"/>
  </r>
  <r>
    <s v="CP_28"/>
    <s v="ESCALAFÓN"/>
    <s v="Eliminar registro de escalafón."/>
    <s v="Funcional"/>
    <s v="El sistema borra de manera exitosa el registro de escalafón cuando este no tiene relaciones con candidatos, si posee relaciones con empleados activas el registro no puede eliminarse."/>
    <s v="Casos sin relación activa de empleado:_x000a_1. Asegurarnos que el registro no posea registros asociados a empleados._x000a_2. Autenticarse como administrador_x000a_3. Búsqueda de registro a eliminar._x000a_4. Eliminar registro especificado._x000a_5. Validar que el registro se elimino de forma exitosa._x000a__x000a_Casos con relación activa de empleado:_x000a_1. Asegurarnos que el registro no posea registros asociados a empleados._x000a_2. Autenticarse como administrador_x000a_3. Búsqueda de registro a eliminar._x000a_4. Eliminar registro especificado._x000a_5. Validar que se rechaza la solicitud de eliminación del registro de escalafón._x000a_"/>
    <s v="Obtener token como administrador._x000a_Registro de escalafón existente con relación de empleado._x000a_Registro de escalafón existente sin relación de empleado."/>
    <s v="id válido"/>
    <s v="Con empelados asociados: Se espera que retorne un código 204 No Content. Y en el GET debe de retornar un código 404 NOT FOUND._x000a_Sin empleados asociados: Se espera que retorne un código 422 y JSON con { &quot;message&quot;: &quot;No se puede eliminar el escalafón ya que tiene empleados asignados&quot; } No se elimina el registro."/>
    <x v="2"/>
    <x v="0"/>
    <m/>
    <d v="2025-10-21T00:00:00"/>
    <d v="2025-10-21T00:00:00"/>
    <n v="20"/>
    <s v="JOSE"/>
    <s v="NO"/>
    <s v="NO"/>
    <s v="COULD"/>
  </r>
  <r>
    <s v="CP_29"/>
    <s v="ESCALAFÓN"/>
    <s v="Rutas protegidas de módulo escalafón"/>
    <s v="Funcional"/>
    <s v="Validar que unicamente el rol de administrador tenga acceso y visualización al módulo de Escalafón."/>
    <s v="1. Iniciar sesión como candidato._x000a_2. Intentar ingresar a una ruta del módulo de gestión de escalafones._x000a_3. Verificar que el usuario candidato no posea permisos para ingresar a las rutas protegidas."/>
    <s v="Usuario con rol de candidato."/>
    <s v="N/A"/>
    <s v="Para las rutas de Escalafón unicamente los usuarios con rol de administrador tienen acceso, cualquier otro rol que intente ingresar la petición será rechazada y retornará código 403 Forbidden."/>
    <x v="2"/>
    <x v="1"/>
    <m/>
    <d v="2025-10-21T00:00:00"/>
    <d v="2025-10-21T00:00:00"/>
    <n v="30"/>
    <s v="JOSE"/>
    <s v="NO"/>
    <s v="NO"/>
    <s v="COULD"/>
  </r>
  <r>
    <s v="CP_30"/>
    <s v="CONTRATACIÓN"/>
    <s v="Crear Solicitud SPNP/TI/TA"/>
    <s v="Funcional"/>
    <s v="Confirmar que un Director puede crear una solicitud de contratación SPNP/TI/TA cargando todos los campos obligatorios. Se valida la respuesta del servicio, el estado inicial de la solicitud, la asociación con la escuela del director y que la nueva solicitud aparezca en “mis solicitudes”."/>
    <s v="1. Autenticarse como Director con permisos y con una escuela asignada._x000a_2. Identificar el tipo de contrato a seleccionar (usar el id correspondiente)._x000a_3. Enviar la creación de la solicitud con todos los campos obligatorios completos._x000a_4. Verificar que el servicio responde 201 Creado y devuelve el objeto de la solicitud._x000a_5. Comprobar que la solicitud queda con el estado inicial definido para nuevas solicitudes._x000a_6. Abrir el listado de “mis solicitudes” y confirmar que la nueva solicitud aparece con los datos correctos."/>
    <s v="Existe un usuario Director con sesión/token válido y permisos para crear solicitudes._x000a_La escuela del Director existe y está activa._x000a_El tipo de contrato SPNP/TI/TA existe._x000a_El servicio para crear solicitudes está disponible."/>
    <s v="contract_type_id: id de SPNP_x000a_school_id: id de la escuela del Director_x000a_modality: “Modalidad Presencial”, “Modalidad en Linea”, “Modalidad Semi-Presencial”_x000a_message:“Contratación SPNP 2025 – Matemática”"/>
    <s v="Se espera que retorne codigo 201 CREATED. con el objeto hiringRequest incluyendo id, contract_type_id (SPNP/TI/TA), school_id (la del Director), modality y message._x000a_La solicitud se crea con el estado inicial previsto para “nueva”._x000a_El usuario creador queda asociado a la solicitud._x000a_La solicitud aparece en /hiringRequest/mine para ese Director con los mismos datos._x000a_No hay errores de validación ni de permisos._x000a__x000a_Cuando existen errores en el formulario retorna un código 422 con un cuerpo que incluya los errores por campo ( contract_type_id, school_id, modality, message)._x000a_No se crea ninguna solicitud."/>
    <x v="0"/>
    <x v="0"/>
    <m/>
    <d v="2025-10-22T00:00:00"/>
    <d v="2025-10-22T00:00:00"/>
    <n v="30"/>
    <s v="RONALD"/>
    <s v="Si"/>
    <s v="SI"/>
    <s v="MUST"/>
  </r>
  <r>
    <s v="CP_31"/>
    <s v="CONTRATACIÓN"/>
    <s v="Agregar candidato (detalle) a solicitud"/>
    <s v="Funcional"/>
    <s v="Comprobar que se pueda agregar una persona como candidato al detalle de una solicitud de contratación y que, al hacerlo, el sistema asocie correctamente al candidato, actualice el detalle y envíe la notificación correspondiente sin duplicar registros."/>
    <s v="1. Tener una solicitud existente en estado que permita edición del detalle._x000a_2. Enviar la petición para agregar el candidato al detalle indicando el id de la persona. POST /hiringRequest/{hiringRequestId}/detail_x000a_3. Verificar que el servicio responde 201 y devuelve el detalle con el candidato asociado._x000a_4. Revisar que el candidato aparece en la lista de detalles de la solicitud._x000a_5. Confirmar que, si aplica, se envió la notificación al candidato._x000a_6. Intentar agregar de nuevo al mismo candidato y comprobar que el sistema lo impide con error controlado."/>
    <s v="Usuario autenticado con permisos para editar la solicitud._x000a_Solicitud en un estado editable._x000a_Persona existente en el sistema-_x000a_Configuración de correo activa para observar la notificación."/>
    <s v="id_persona: id de la persona"/>
    <s v="Se retorna un código 201 CREATED y un json con el objeto de detalle que incluye referencia a la solicitud y al candidato agregado._x000a_El candidato queda visible en el listado de detalles de esa solicitud._x000a_Se dispara la notificación al candidato y queda registro del envío._x000a_El sistema evita duplicados del mismo candidato en la misma solicitud._x000a_No se permiten altas si la solicitud ya no es editable."/>
    <x v="0"/>
    <x v="0"/>
    <m/>
    <d v="2025-10-22T00:00:00"/>
    <d v="2025-10-22T00:00:00"/>
    <n v="25"/>
    <s v="RONALD"/>
    <s v="Si"/>
    <s v="SI"/>
    <s v="MUST"/>
  </r>
  <r>
    <s v="CP_32"/>
    <s v="CONTRATACIÓN"/>
    <s v="Actualizar detalle solicitud SPNP/TI/TA"/>
    <s v="Funcional"/>
    <s v="Comprobar que se pueda editar el detalle SPNP/TI/TA de una solicitud (jornadas/horas, actividades, periodo y, si aplica, honorarios) y que el sistema guarde los cambios correctamente, mantenga la consistencia del detalle y registre la acción"/>
    <s v="1. Tener una solicitud con detalle SPNP/TI/TA en un estado que permita editar._x000a_2. Enviar la actualización del detalle con los campos necesarios (horas, actividades, periodo, honorarios si corresponde).  PUT /hiringRequest/detail/{detailId}/spnp_x000a_3. Verificar que la respuesta sea 200 y que el objeto devuelto refleje los nuevos valores._x000a_4. Consultar nuevamente el detalle (o listar detalles) para confirmar que los datos persistieron._x000a_5. Probar con horas fuera de rango o actividades vacías y confirmar que el sistema rechaza la edición con error claro._x000a_6. Intentar editar cuando la solicitud ya está en una fase no editable y confirmar que el sistema bloquea la acción."/>
    <s v="Usuario autenticado con permiso para editar el detalle._x000a_Solicitud en estado editable._x000a_Existe el detalle SPNP/TI/TA a actualizar."/>
    <s v="Valido:_x000a_horas_totales: número dentro del rango permitido._x000a_actividades: texto claro_x000a_periodo: fechas coherentes_x000a_honorarios: si aplica, monto válido._x000a__x000a_Invalido:_x000a_horas_totales = 0 o negativas_x000a_actividades = &quot;&quot;_x000a_periodo con inicio &gt; fin."/>
    <s v="Se espera código de retorno 200 OK y el detalle SPNP/TI/TA actualizado con los nuevos datos._x000a_Los cambios quedan persistidos y visibles al volver a consultar._x000a_Ediciones con datos inválidos: código 422 /400 con mensajes por campo; no se guardan cambios._x000a_Si la solicitud no es editable por estado: 403/400 y el detalle no se modifica._x000a_Se registra la acción en bitácora."/>
    <x v="0"/>
    <x v="0"/>
    <m/>
    <d v="2025-10-22T00:00:00"/>
    <d v="2025-10-22T00:00:00"/>
    <n v="15"/>
    <s v="RONALD"/>
    <s v="NO"/>
    <s v="NO"/>
    <s v="SHOULD"/>
  </r>
  <r>
    <s v="CP_33"/>
    <s v="CONTRATACIÓN"/>
    <s v="Enviar Solicitud a RRHH (ERH)"/>
    <s v="Funcional"/>
    <s v="Mover la solicitud a ERH para revisión de RRHH y notificar al área correspondiente. Debe registrar historial/bitácora y aplicar la política de edición del estado ERH"/>
    <s v="1. Abrir una solicitud completa que aún está en edición._x000a_2. Ejecutar la acción “Enviar a RRHH”. POST /hiringRequest/{id}/sendToHR_x000a_3. Ver respuesta exitosa y que el estado cambió a ERH._x000a_4. Verificar que la solicitud aparece en la bandeja de RRHH._x000a_5. Revisar historial/bitácora con el cambio._x000a_6. Intentar editar la solicitud estando en ERH y confirmar el comportamiento definido."/>
    <s v="Director (emite)_x000a_RRHH (recibe) _x000a_Sistema (notifica/bitácora)._x000a_Director autenticado con permisos_x000a_Solicitud con candidato agregado y detalle completos (SPNP/TI/TA). Servicio de envío disponible."/>
    <s v="id de solicitud y comentario opciona"/>
    <s v="Estado ERH aplicado; solicitud visible para RRHH; notificación enviada; bitácora registrada; política de edición de ERH activa."/>
    <x v="0"/>
    <x v="0"/>
    <m/>
    <d v="2025-10-22T00:00:00"/>
    <d v="2025-10-22T00:00:00"/>
    <n v="15"/>
    <s v="RONALD"/>
    <s v="Si"/>
    <s v="SI"/>
    <s v="MUST"/>
  </r>
  <r>
    <s v="CP_34"/>
    <s v="CONTRATACIÓN"/>
    <s v="Revisión de Solicitud RRHH: Aprobar"/>
    <s v="Funcional"/>
    <s v="RRHH aprueba la revisión de la solicitud en estado ERH, dejando el visto bueno de RRHH registrado (flag/campos de aprobación), bloqueando la edición de borrador para el Director y habilitando el paso posterior a ESD. Debe quedar trazabilidad (revisor, fecha/hora, comentarios) y notificación al Director."/>
    <s v="1. Partir de una solicitud en ERH (enviada a RRHH), con candidato y detalle(s) completos._x000a_2. Autenticarse como RRHH con permisos de revisión._x000a_3. Ejecutar la acción de aprobar revisión enviando approved=true y comentarios (breves). POST /hiringRequest/{id}/hr/review_x000a_4. Verificar respuesta 200 (o 201 según convención) sin errores._x000a_5. Consultar la solicitud y comprobar que quedan registrados._x000a_6. Intentar editar la solicitud como Director por estar aprobada por RRHH._x000a_7. Confirmar que NO se cambia automáticamente a ESD._x000a_8. Verificar notificación al Director informando la aprobación de RRHH._x000a_9. Validar que se registró la bitácora._x000a_10. Repetir la acción un segundo intento de aprobar debe responder 409/400 controlado, sin duplicar ni alterar datos."/>
    <s v="Solicitud en ERH_x000a_RRHH autenticado con permiso de revisión_x000a_servicios de correo/bitácora disponibles"/>
    <s v="válidos:_x000a_ &quot;approved&quot;: true_x000a_&quot;comments&quot;: &quot;Revisión OK. Cumple requisitos de perfil y documentos.&quot;_x000a__x000a_inválidos:_x000a_Solicitud no en ERH_x000a_approved faltante o no boolean_x000a_Sin permisos/autenticación_x000a_Reintento de aprobación"/>
    <s v="Quedan grabados los datos de aprobación de RRHH (flag TRUE, revisor, fecha, comentarios)._x000a_Edición de borrador bloqueada para el Director (endpoints de edición devuelven 403/400)._x000a_Se mantiene el estado ERH (no pasa a ESD automáticamente)._x000a_Se envía notificación al Director._x000a_Existe entrada de bitácora completa.  _x000a_Reintentos o estados inválidos deben tener errores controlados sin efectos secundarios."/>
    <x v="0"/>
    <x v="0"/>
    <m/>
    <d v="2025-10-22T00:00:00"/>
    <d v="2025-10-22T00:00:00"/>
    <n v="30"/>
    <s v="RONALD"/>
    <s v="Si"/>
    <s v="SI"/>
    <s v="MUST"/>
  </r>
  <r>
    <s v="CP_35"/>
    <s v="CONTRATACIÓN"/>
    <s v="Enviar a Validación (ESD)"/>
    <s v="Funcional"/>
    <s v="Verificar cuando el director envía una solicitud completa a revisión, el sistema cambia el estado a ESD (“Enviada a Secretaría/Validación”) y marca validated igual true. Esto asegura que la solicitud queda lista para la siguiente etapa y ya no puede seguir editándose como borrador."/>
    <s v="1. Partir de una solicitud completa (con sus detalles, horarios/documentos requeridos) que aún no ha sido enviada a validación (validated = false)._x000a_2. Ejecutar la acción de “Enviar a validación” sobre esa solicitud._x000a_3. Verificar que la respuesta confirma el cambio de estado a ESD y que el indicador validated ahora es true._x000a_4. Revisar que la solicitud ya no permita ediciones propias de borrador._x000a_5. Comprobar que la solicitud aparece en los listados correspondientes a validación/secretaría para su recepción._x000a_6. Confirmar que se registró bitácora del cambio de estado y que se enviaron las notificaciones previstas."/>
    <s v="Usuario autenticado como director._x000a_Existe una solicitud."/>
    <s v="solicitud._x000a_POST /contratacion/solicitudes/&lt;ID_SOL&gt;/enviar-validacion"/>
    <s v="Se espera que retorne código 200 OK, la solicitud queda en ESD, validated = True, se bloquea la edición propia de borrador. La solicitud aparece en la bandeja Validación/Secretaría. Se envía a los destinatarios configurados."/>
    <x v="0"/>
    <x v="0"/>
    <m/>
    <d v="2025-10-22T00:00:00"/>
    <d v="2025-10-22T00:00:00"/>
    <n v="30"/>
    <s v="RONALD"/>
    <s v="Si"/>
    <s v="SI"/>
    <s v="MUST"/>
  </r>
  <r>
    <s v="CP_36"/>
    <s v="CONTRATACIÓN"/>
    <s v="Revisión Solicitud RRHH: Observar/Rechazar"/>
    <s v="Funcional"/>
    <s v="Cuando RRHH no aprueba la revisión, debe devolver la solicitud a edición con comentarios obligatorios y dejar habilitada la edición al Director. Debe registrarse bitácora, enviarse notificación y bloquear el avance a ESD hasta que RRHH vuelva a aprobar."/>
    <s v="1. Partir de una solicitud en ERH (en revisión de RRHH), con candidato y detalle completos._x000a_2. Autenticarse como RRHH con permisos de revisión._x000a_3. Ejecutar la acción de observar/rechazar enviando approved=false y comments con los pendientes. POST /hiringRequest/{id}/hr/review_x000a_4. Ver respuesta exitosa (200/201)._x000a_5. Consultar la solicitud._x000a_6. Ingresar como Director e intentar editar el/los detalle(s): la edición debe estar habilitada._x000a_7. Verificar que el Director recibió la notificación con las observaciones._x000a_8. Revisar bitácora con actor RRHH._x000a_9. Probar idempotencia y errores: un nuevo “observar” cuando ya está en edición intentar observar una solicitud ya aprobada por RRHH_x000a_"/>
    <s v="Solicitud en ERH_x000a_RRHH autenticado con permiso_x000a_motor de correo/alertas activo"/>
    <s v="Válidos:_x000a_&quot;approved&quot;: false,_x000a_  &quot;comments&quot;: &quot;Faltan respaldos de títulos y corrección de carga horaria en TI.&quot;_x000a__x000a_Inválidos:_x000a_Sin comments o vacíos._x000a_Solicitud no está en ERH._x000a_Id inexistente_x000a_Usuario sin permiso_x000a_Reintento de observar estando ya en edición"/>
    <s v="La solicitud regresa a edición (FSC/RDC según catálogo)._x000a_Flag de aprobación RRHH en FALSE (o equivalente) y avance a ESD bloqueado hasta nueva aprobación._x000a_Edición habilitada para el Director._x000a_Comentarios visibles para el Director_x000a_Notificación enviada con el detalle de observaciones._x000a_Bitácora creada con actor, fecha/hora, comentario y transición de estado._x000a_Reintentos o estados inválidos responden con errores controlados y sin efectos secundarios."/>
    <x v="0"/>
    <x v="0"/>
    <m/>
    <d v="2025-10-23T00:00:00"/>
    <d v="2025-10-23T00:00:00"/>
    <n v="30"/>
    <s v="RONALD"/>
    <s v="Si"/>
    <s v="SI"/>
    <s v="SHOULD"/>
  </r>
  <r>
    <s v="CP_37"/>
    <s v="CONTRATACIÓN"/>
    <s v="Reenviar Solicitud a RRHH tras correcciones"/>
    <s v="Funcional"/>
    <s v="El Director corrige la solicitud según las observaciones de RRHH y la reenvía a revisión. Debe pasar de edición a ERH, quedando registrada la nueva iteración preservando las observaciones anteriores y notificando a RRHH. Mientras esté en ERH, se aplica la política de edición"/>
    <s v="1.Tomar una solicitud que fue observada por RRHH y que ahora está de vuelta en edición con comentarios visibles._x000a_2. Como Director, corregir los puntos señalados (detalles SPNP/TI/TA, documentos, periodos, horas, etc.)._x000a_3. Ejecutar la acción “Reenviar a RRHH”.POST /hiringRequest/{id}/sendToHR_x000a_4. Ver respuesta exitosa_x000a_5. Consultar la solicitud._x000a_6. Intentar editar la solicitud estando en ERH y validar el comportamiento definido._x000a_7. Verificar que RRHH recibe la notificación del reenvío y que la solicitud aparece en su bandeja de pendientes."/>
    <s v="Solicitud con observaciones de RRHH (estado de edición tras ERH con approved=false), comentarios visibles, y con capacidad de ser corregida._x000a_Servicios de correo/bitácora activos."/>
    <s v="Válido:_x000a_&quot;comments&quot;: &quot;Corregidas horas TI y adjuntados títulos solicitados.&quot;_x000a__x000a_Inválido:_x000a_Falta de correcciones (persisten errores) no cambia a ERH._x000a_Solicitud no en estado de edición_x000a_Id inexistente_x000a_Usuario sin permiso_x000a_Reenvío duplicado idempotente sin duplicar bitácora ni notificaciones."/>
    <s v="La solicitud cambia a ERH con bitácora del reenvío_x000a_Se incrementa el contador de revisión o queda nueva entrada de ciclo._x000a_Notificación a RRHH enviada; la solicitud aparece en su bandeja._x000a_Edición en ERH se bloquea o se maneja conforme a la política definida._x000a_En casos inválidos, respuestas controladas"/>
    <x v="0"/>
    <x v="0"/>
    <m/>
    <d v="2025-10-23T00:00:00"/>
    <d v="2025-10-23T00:00:00"/>
    <n v="30"/>
    <s v="RONALD"/>
    <s v="Si"/>
    <s v="SI"/>
    <s v="SHOULD"/>
  </r>
  <r>
    <s v="CP_38"/>
    <s v="CONTRATACIÓN"/>
    <s v="Notificaciones ERH"/>
    <s v="Funcional"/>
    <s v="Validar los correos/avisos generados en el tramo ERH del flujo: enviar a RRHH, aprobar y observar. Se comprueba que se disparen en los momentos correctos, lleguen a los destinatarios adecuados, usen la plantilla correcta con variables bien sustituidas, y queden registrados (cola/log/bitácora), sin duplicados ni envíos cuando el estado es inválido."/>
    <s v="1. Realizar las funciones que centralizadas por RRHH._x000a_2. Verificar el formato de los correos y las plantillas utilizadas y el envío a las personas correspondientes."/>
    <s v="Servicios de correo/cola activos"/>
    <s v="POST /hiringRequest/{id}/sendToHR_x000a_POST /hiringRequest/{id}/hr/review_x000a_POST /hiringRequest/{id}/hr/review"/>
    <s v="Enviar a RRHH: correo/aviso a RRHH con datos de la solicitud y enlace para revisión._x000a_Aprobar: correo/aviso a Director con aprobación, comentarios y recordatorio de que la edición está bloqueada._x000a_Observar: correo/aviso a Director con observaciones y pasos para corregir y reenviar._x000a_Asunto, cuerpo, variables y enlaces correctos; remitente/Reply-To configurados; sin duplicados; registro en cola/log/bitácora._x000a_Acciones repetidas o en estados inválidos no envían correo y responden 400/409 controlado; no dejan residuos en la cola."/>
    <x v="1"/>
    <x v="0"/>
    <m/>
    <d v="2025-10-24T00:00:00"/>
    <d v="2025-10-24T00:00:00"/>
    <n v="15"/>
    <s v="RONALD"/>
    <s v="NO"/>
    <s v="NO"/>
    <s v="SHOULD"/>
  </r>
  <r>
    <s v="CP_39"/>
    <s v="CONTRATACIÓN"/>
    <s v="Enviar Solicitud a Validación (ESD) - Con Observación"/>
    <s v="Funcional"/>
    <s v="Cambiar la solicitud a ESD (lista para validación) solo si la revisión de RRHH (ERH) fue aprobada. Al hacerlo, debe bloquearse la edición de borrador, registrarse en bitácora y enviarse notificaciones a Secretaría/Director."/>
    <s v="1. Tener una solicitud con candidato y detalles completos, ERH aprobado y validated=false._x000a_2. Ejecutar la acción “Enviar a validación”. POST /hiringRequest/{id}/finalize_x000a_3. Ver respuesta sin errores._x000a_4. Consultar la solicitud y confirmar request_status = ESD y validated = true._x000a_5. Intentar editar (crear/actualizar/eliminar detalle SPNP/TI/TA) y debe rechazar._x000a_6. Verificar que aparece en la bandeja/listado de Secretaría._x000a_7. Revisar bitácora y notificaciones emitidas."/>
    <s v="Director autenticado con permiso_x000a_solicitud en edición (RDC/CSC) con ERH=aprobado_x000a_servicios de bitácora y correo operativos."/>
    <s v="Válido:_x000a_id de la solicitud y comentario opcional._x000a__x000a_Inválido:_x000a_Enviar sin ERH aprobado._x000a_Solicitud incompleta._x000a_Id inexistente._x000a_Estado inválido._x000a_Usuario sin permiso._x000a_Reintento del envío error controlado."/>
    <s v="Cambia a ESD y validated=true._x000a_Edición de borrador deshabilitada._x000a_Solicitud visible para Secretaría; bitácora y notificaciones correctas._x000a_Intentos inválidos devuelven 403/409/400/404 sin efectos sobre datos/estado."/>
    <x v="0"/>
    <x v="0"/>
    <m/>
    <d v="2025-10-24T00:00:00"/>
    <d v="2025-10-24T00:00:00"/>
    <n v="30"/>
    <s v="RONALD"/>
    <s v="NO"/>
    <s v="NO"/>
    <s v="SHOULD"/>
  </r>
  <r>
    <s v="CP_40"/>
    <s v="CONTRATACIÓN"/>
    <s v="Recepción de Solicitud Secretaría (RDS)"/>
    <s v="Funcional"/>
    <s v="Registrar que Secretaría recibe una solicitud lista para validación (estado ESD y validated=true) y la cambia a RDS. Debe permitir guardar comentarios, dejar bitácora (actor, fecha, estado anterior→nuevo) y mostrar la solicitud en la bandeja de Secretaría. No debe alterar los detalles de la solicitud."/>
    <s v="1. Partir de una solicitud en ESD con validated=true._x000a_2. Autenticarse como Secretaría con permisos._x000a_3. Ejecutar “Recepción de Secretaría” con comentario breve. POST /hiringRequest/{id}/secretaryReception._x000a_4. Ver respuesta exitosa._x000a_5. Consultar la solicitud y confirmar request_status = RDS y que los comentarios se guardaron._x000a_6. Ver la solicitud en la bandeja/listado de Secretaría._x000a_7. Revisar bitácora con actor Secretaría, fecha/hora y transición ESD a RDS._x000a_8. Validar que los detalles (SPNP/TI/TA) no se modificaron por esta acción._x000a_9. Probar idempotencia: repetir la recepción, idempotente sin duplicar ni cambiar nada."/>
    <s v="Solicitud existente en ESD con validated=true._x000a_Servicios de correo/bitácora activos._x000a_Secretaría autenticada con permiso."/>
    <s v="Válido:_x000a_&quot;comments&quot;: &quot;Recibida para agenda a JD.&quot;_x000a__x000a_Inválido:_x000a_Solicitud no está en ESD o validated=false._x000a_Id inexistente._x000a_Usuario sin permiso / no autenticado._x000a_Recepción repetida (ya RDS/RJD/GDC)."/>
    <s v="La solicitud pasa a RDS con comentarios guardados._x000a_Se registra bitácora completa (actor, fecha/hora, estado previo a RDS, comentario)._x000a_La solicitud aparece en la bandeja de Secretaría y queda disponible para agendar._x000a_No hay cambios en detalles ni en archivos adjuntos._x000a_Reintentos/estados inválidos errores controlados sin efectos."/>
    <x v="0"/>
    <x v="0"/>
    <m/>
    <d v="2025-10-24T00:00:00"/>
    <d v="2025-10-24T00:00:00"/>
    <n v="15"/>
    <s v="RONALD"/>
    <s v="Si"/>
    <s v="SI"/>
    <s v="MUST"/>
  </r>
  <r>
    <s v="CP_41"/>
    <s v="CONTRATACIÓN"/>
    <s v="Aprobación JD (GDC)"/>
    <s v="Funcional"/>
    <s v="Registrar la aprobación de Junta Directiva (JD) de una solicitud en RJD, generando el dictamen (acta y decisión) y cambiando el estado a GDC. Debe quedar trazabilidad completa (actor, fecha/hora, acta, decisión), notificaciones a los actores (Director, Secretaría y RRHH) y habilitar la generación de contratos. No debe modificar los detalles de la solicitud."/>
    <s v="1. Partir de una solicitud en RJD (Agendada para JD)._x000a_2. Autenticarse como Secretaría/JD con permisos para registrar el dictamen._x000a_3. Ejecutar la acción “Aprobación JD”. POST /hiringRequest/{id}/approveJD. adjuntando/indicando acta y decisión igual a aprobada (más observaciones si aplica)._x000a_4. Ver respuesta exitosa._x000a_5. Consultar la solicitud._x000a_6. Validar que no se alteraron los detalles (SPNP/TI/TA)._x000a_7. Verificar notificaciones enviadas a Director (resultado), RRHH (habilitación de contrato) y Secretaría (copia)._x000a_8. Intentar generar contrato con detailId debe permitirse._x000a_9. Repetir aprobación o intentar aprobar en estado no válido; sin permiso"/>
    <s v="Solicitud en RJD_x000a_Servicio de almacenamiento para actas operativo._x000a_correo/alertas activo._x000a_Reglas de transición definidas."/>
    <s v="Válido:_x000a_&quot;decision&quot;: &quot;approved&quot;,_x000a_  &quot;minutes_number&quot;: &quot;ACTA-2025-034&quot;,_x000a_  &quot;minutes_file_id&quot;: &quot;file_abc123.pdf&quot;,_x000a_  &quot;comments&quot;: &quot;Aprobado por unanimidad.&quot;_x000a__x000a_Inválido:_x000a_Solicitud no en RJD._x000a_Falta acta/decisión o formato inválido._x000a_Id inexistente._x000a_Usuario sin permiso._x000a_Aprobación repetida (ya GDC)._x000a_Archivo de acta no accesible."/>
    <s v="Estado cambia a GDC; dictamen (acta/decisión/observaciones) persistido y vinculado a la solicitud._x000a_Bitácora registrada (actor, timestamp, RJD a GDC, número/archivo de acta)._x000a_Notificaciones correctas a Director, RRHH y Secretaría._x000a_Sin cambios en los detalles (SPNP/TI/TA)._x000a_Habilitada la generación de contratos (GET /contract/hiringRequestDetail/{detailId}/generate)._x000a_Reintentos/estados inválidos y errores controlados sin efectos."/>
    <x v="0"/>
    <x v="0"/>
    <m/>
    <d v="2025-10-24T00:00:00"/>
    <d v="2025-10-24T00:00:00"/>
    <n v="30"/>
    <s v="RONALD"/>
    <s v="Si"/>
    <s v="SI"/>
    <s v="MUST"/>
  </r>
  <r>
    <s v="CP_42"/>
    <s v="CONTRATACIÓN"/>
    <s v="Generar Contrato SPNP/TI/TA"/>
    <s v="Funcional"/>
    <s v="Generar el contrato (PDF) a partir de un detalle SPNP/TI/TA de una solicitud aprobada por JD (GDC). Debe seleccionar la plantilla SPNP, completar variables (periodo, horario, docente, DUI/NIT, horas/jornadas/actividades, escuela, número de solicitud/contrato), renderizar el PDF, almacenarlo en el storage y vincularlo al detalle/solicitud. La operación debe ser idempotente y no alterar los datos del detalle."/>
    <s v="1. Partir de una solicitud en GDC con al menos un detalle SPNP/TI/TA válido._x000a_2. Como usuario autorizado invocar “Generar contrato” para ese detailId. GET /contract/hiringRequestDetail/{detailId}/generate._x000a_3. Ver respuesta 200 con el archivo (stream) o la ruta/URL del PDF generado._x000a_4. Verificar en storage que existe el archivo con nombre esperado._x000a_"/>
    <s v="Solicitud en GDC. _x000a_Detalle SPNP/TI/TA asociado y completo._x000a_Plantilla SPNP/TI/TA cargada._x000a_Storage accesible (espacio/permiso)._x000a_Servicios de bitácora y notificaciones activos"/>
    <s v="Válido:_x000a_detailId del detalle SPNP/TI/TA._x000a__x000a_Inválido:_x000a_detailId inexistente._x000a_detailId no corresponde a SPNP/TI/TA._x000a_Detalle pertenece a una solicitud no GDC._x000a_Usuario sin permiso._x000a_Plantilla faltante o error de render._x000a_Storage inaccesible/sin espacio._x000a_Concurrencia resultado consistente._x000a_"/>
    <s v="PDF de contrato SPNP/TI/TA generado correctamente, almacenado en la ruta configurada y vinculado al detalle/solicitud._x000a_Contenido del PDF completo y coherente con el detalle (periodo, horario/jornadas/actividades, datos del docente con DUI/NIT formateado, etc.)._x000a_Idempotencia garantizada (no basura, no duplicados indebidos)._x000a_Sin cambios en el estado/datos del detalle ni de la solicitud._x000a_Bitácora de evento (usuario, fecha, detailId, resultado); notificación si aplica._x000a_En escenarios inválidos, respuestas controladas sin efectos secundarios."/>
    <x v="0"/>
    <x v="0"/>
    <m/>
    <d v="2025-10-24T00:00:00"/>
    <d v="2025-10-24T00:00:00"/>
    <n v="100"/>
    <s v="RONALD"/>
    <s v="Si"/>
    <s v="SI"/>
    <s v="MUST"/>
  </r>
  <r>
    <s v="CP_43"/>
    <s v="CONTRATACIÓN"/>
    <s v="Permisos por rol en solicitudes de contratación"/>
    <s v="Seguridad"/>
    <s v="Validar que el RBAC (gates/policies) bloquea el acceso a rutas protegidas cuando el rol del usuario no está autorizado. Peticiones deben responder 403 Forbidden sin efectos sobre datos/estados y dejando trazabilidad mínima."/>
    <s v="1. Preparar tokens válidos para: Director, Secretaría, RRHH, JD y un usuario sin rol. Preparar además token expirado y sin token._x000a_2. Intentar cada endpoint con roles no autorizados._x000a_3. Repetir paso 2 usando token expirado y sin token._x000a_4. Para cada intento, capturar código/ cuerpo y verificar que no cambia ningún dato._x000a_5. Ejecutar una llamada con el rol correcto por endpoint para confirmar que el acceso sí es posible cuando corresponde"/>
    <s v="Existen solicitudes y detalles en estados que permitan invocar las rutas._x000a_Contratos generados para probar estado/historial._x000a_RBAC configurado en policies/gates."/>
    <s v="Crear solicitud: POST /hiringRequest (probar con RRHH/Secretaría/JD/usuario sin rol)._x000a_Enviar a RRHH: POST /hiringRequest/{id}/sendToHR (probar RRHH/Secretaría/JD)._x000a_Enviar a Validación (ESD): POST /hiringRequest/{id}/finalize (probar RRHH/Secretaría/JD)._x000a_Recepción Secretaría: POST /hiringRequest/{id}/secretaryReception (probar Director/RRHH/JD)._x000a_Agendar JD: POST /hiringRequest/{id}/scheduleJD (probar Director/RRHH/JD)._x000a_Aprobación JD (GDC): POST /hiringRequest/{id}/approveJD (probar Director/RRHH)._x000a_Generar contrato: GET /contract/hiringRequestDetail/{detailId}/generate (probar Director/Secretaría/JD)._x000a_Cambiar estado de contrato: POST /contract/hiringRequestDetail/{detailId}/status (probar Director/JD)._x000a_Mis Solicitudes de otro usuario: GET /hiringRequest/mine con token de otro director (no debe ver ajenas)."/>
    <s v="Para roles no autorizados retornará código 403 Forbidden con mensaje claro; sin cambios en BD/archivos/bitácora de negocio._x000a_Sin token / token inválido o expirado deberá retornar código 401Unauthorized._x000a_Aislamiento en GET /hiringRequest/mine: nunca aparecen solicitudes de otros usuarios._x000a_Llamadas de sanidad con el rol correcto retornará código 200 OK."/>
    <x v="0"/>
    <x v="1"/>
    <m/>
    <d v="2025-10-24T00:00:00"/>
    <d v="2025-10-24T00:00:00"/>
    <n v="25"/>
    <s v="RONALD"/>
    <s v="Si"/>
    <s v="SI"/>
    <s v="MUST"/>
  </r>
  <r>
    <s v="CP_44"/>
    <s v="CONTRATACIÓN"/>
    <s v="Flujo completo de gestión de contratación"/>
    <s v="API"/>
    <s v="Validar que los enpoints que se ven involucrados en el proceso de gestión de funcionan de forma correcta y adecuada, permitiendo obtener respuestas en cada  paso de la gestión de contratación."/>
    <s v="1. Creación de solicitud de contratación de docentes._x000a_2. Relacionar solicitud con candidatos activos._x000a_3. Envio a recursos humanos._x000a_4. Validación de recursos humanos, si no existen observaciones se envia solicitud a secretaría._x000a_5. Validación de secretaria, sin observaciones se envia al siguiente paso._x000a_6. Obtención y generación de contratos._x000a_7. Notificación de contratación."/>
    <s v="Usuarios director, recursos humanos, administrativo."/>
    <s v="Datos a generar durante el proceso de contratación"/>
    <s v="Creación exitosa del proceso de contratación de personal docente."/>
    <x v="2"/>
    <x v="3"/>
    <m/>
    <d v="2025-10-26T00:00:00"/>
    <m/>
    <m/>
    <s v="RONALD"/>
    <s v="Si"/>
    <s v="SI"/>
    <s v="MUST"/>
  </r>
  <r>
    <s v="CP_45"/>
    <s v="SEGURIDAD"/>
    <s v="Seguridad: inyección SQL / XSS"/>
    <s v="Seguridad"/>
    <s v="Validar la resistencia del sistema frente a ataques de inyección SQL y Cross-Site Scripting (XSS). El objetivo es confirmar que los endpoints de creación y edición de registros no sean vulnerables a la manipulación de datos mediante consultas maliciosas ni a la ejecución de scripts que comprometan la seguridad de la aplicación o la confidencialidad de la información."/>
    <s v="1. Ingresar a la aplicación e identificar los formularios o campos de texto habilitados para creación o edición de registros_x000a_2. Enviar cada uno de los payloads maliciosos a través de dichos campos utilizando herramientas como Postman o directamente en la UI._x000a_3, Monitorear la respuesta del servidor._x000a_4. Revisar los logs del sistema para confirmar que no existan consultas SQL alteradas ni ejecución de scripts._x000a_5.Validar en el navegador que los payloads no se reflejen en la UI ni disparen alertas o ejecución de código."/>
    <s v="El usuario de prueba cuenta con credenciales válidas para interactuar con la aplicación._x000a_Se habilitan herramientas de monitoreo para validar el comportamiento de los inputs maliciosos."/>
    <s v="Inyección SQL básica:_x000a_' OR 1=1 --_x000a_admin' --_x000a_SELECT * FROM users;_x000a__x000a_Inyección SQL avanzada:_x000a_'; DROP TABLE users; --_x000a_0' UNION SELECT null, username, password FROM users --_x000a__x000a_XSS reflejado y almacenado:_x000a_&lt;script&gt;alert('XSS')&lt;/script&gt;_x000a_&lt;img src=x onerror=alert('XSS')&gt;_x000a_&lt;svg/onload=alert(1)&gt;"/>
    <s v="El sistema debe neutralizar cualquier intento de inyección SQL o XSS._x000a_No deben ejecutarse consultas alteradas ni mostrarse información sensible._x000a_Los inputs maliciosos deben ser sanitizados o rechazados con un mensaje de validación adecuado._x000a_La aplicación debe mantener su comportamiento normal sin interrupciones ni exposición de datos."/>
    <x v="0"/>
    <x v="1"/>
    <m/>
    <d v="2025-10-25T00:00:00"/>
    <m/>
    <n v="35"/>
    <s v="RONALD"/>
    <s v="Si"/>
    <s v="SI"/>
    <s v="MUST"/>
  </r>
  <r>
    <s v="CP_47"/>
    <s v="RENDIMIENTO"/>
    <s v="Tiempo de respuesta en listados principales"/>
    <s v="Rendimiento"/>
    <s v="Verificar que los listados más importantes respondan rápido cuando varios usuarios los usan al mismo tiempo. Queremos asegurar que el 95% de las consultas tarden menos de 500 milisegundos."/>
    <s v="1. Preparar la base de datos: cargar al menos 10,000 registros de usuarios, personas, empleados, documentos y permanencia._x000a_2. Configurar la prueba: usar paginación real y busquedas tipicas._x000a_3. Ejecutar consultas minimas durante 1 minuto  para que el sistema se prepare y active sus cachés._x000a_4. Durante 5 minutos hacer 10 consultas por segundo a cada endpoint"/>
    <s v="Base de datos con registros ingresados._x000a_Ambiente similar al de producción."/>
    <s v="Listados a probrar:_x000a_1. /users_x000a_2. /personas_x000a_3. /empleados_x000a_4. /solicitudes_x000a_5. /permanecia_x000a_7. /Catalogos"/>
    <s v="El 95% de las consultas deben tardar menos de 500 milisegundos._x000a_Menos del 1% de errores y cero errores críticos del servidor._x000a_El sistema debe mantenerse estable durante toda la prueba."/>
    <x v="0"/>
    <x v="1"/>
    <m/>
    <d v="2025-10-22T00:00:00"/>
    <d v="2025-10-22T00:00:00"/>
    <n v="120"/>
    <s v="GRISELDA"/>
    <s v="NO"/>
    <s v="NO"/>
    <s v="SHOULD"/>
  </r>
  <r>
    <s v="CP_48"/>
    <s v="RENDIMIENTO"/>
    <s v="Evitar consultas excesivas en listados con relaciones"/>
    <s v="Rendimiento"/>
    <s v="Verificar que cuando pedimos información relacionada el sistema no haga una consulta a la base de datos por cada registro mostrado. Queremos asegurar que el número de consultas sea siempre el mismo, sin importar cuántos registros mostremos."/>
    <s v="1. Configurar los logs de la base de datos._x000a_2. Crear datos de pruebas de roles, escuelas y documentos para candidatos._x000a_3. Ejecutar GET /users?include=roles,school&amp;per_page=50&amp;page=1._x000a_4. Ejecutar GET /users?include=roles,school&amp;per_page=50&amp;page=2_x000a_5. Ejecutar GET /users?include=roles,school&amp;per_page=100&amp;page=1_x000a_6. Ejecutar GET /documents?include=versions,candidate&amp;per_page=50&amp;page=1_x000a_7. Ejecutar GET /documents?include=versions,candidate&amp;per_page=50&amp;page=2_x000a_8. Ejecutar GET /documents?include=versions,candidate&amp;per_page=100&amp;page=1_x000a_9. Analizar los resultados._x000a_10. Prueba de velocidad hacer 10 consultas seguidas a cada endpoint para medir si responden consistentemente rápido."/>
    <s v="Base de datos con usuarios, roles, escuelas, documentos, versiones y candidatos relacionados entre sí"/>
    <s v="Para usuarios: include=roles,school con per_page de 50 o 100 registros, páginas 1 y 2_x000a_Para documentos: include=versions,candidate con per_page de 50 o 100 registros, páginas 1 y 2"/>
    <s v="Una consulta principal más una por cada relación solicitada. Las consultas no deben aumentar cuando mostramos más registros por página o cambiamos de página. 95% de las consultas deben tardar menos de 500 milisegundos, no debe haber errores de servidor ni timeouts. Si las consultas aumentan con el número de registros, la prueba falla y se debe identificar qué modelo o relación está causando el problema"/>
    <x v="0"/>
    <x v="0"/>
    <m/>
    <d v="2025-10-22T00:00:00"/>
    <d v="2025-10-22T00:00:00"/>
    <n v="120"/>
    <s v="GRISELDA"/>
    <s v="NO"/>
    <s v="NO"/>
    <s v="SHOULD"/>
  </r>
  <r>
    <s v="CP_49"/>
    <s v="RENDIMIENTO"/>
    <s v="Inicio de sesión con muchos usuarios simultáneos"/>
    <s v="Rendimiento"/>
    <s v="Verificar que el sistema de login funcione bien cuando muchos usuarios intentan iniciar sesión al mismo tiempo. Queremos asegurar que el proceso de autenticación se mantenga rápido y estable bajo carga."/>
    <s v="1. Preparar al menos 100 cuentas de usuario válidas (con email y contraseña) que solo se usarán para estas pruebas._x000a_2. Hacer logins minimos (1 por segundo) para que el sistema se prepare y active sus cachés._x000a_3. Durante 3 minutos, hacer 20 intentos de login por segundo._x000a_4. Registrar cuánto tarda cada login, contar los diferentes tipos de respuesta._x000a_5. "/>
    <s v="Lista de usuarios válidos creada específicamente para pruebas_x000a_"/>
    <s v="Lista de emails y contraseñas de usuarios de prueba_x000a_20 logins por segundo durante 3 minutos, rotando entre diferentes usuarios"/>
    <s v="95% de los logins deben completarse en menos de 800 milisegundos,  no debe haber errores del servidor, solo errores de usuario si corresponde, sin bloqueos inesperados"/>
    <x v="0"/>
    <x v="1"/>
    <m/>
    <d v="2025-10-22T00:00:00"/>
    <d v="2025-10-22T00:00:00"/>
    <m/>
    <s v="GRISELDA"/>
    <s v="NO"/>
    <s v="NO"/>
    <s v="SHOULD"/>
  </r>
  <r>
    <s v="CP_50"/>
    <s v="RENDIMIENTO"/>
    <s v="Tiempo de respuesta del Dashboard (Carga de indicadores)"/>
    <s v="Rendimiento"/>
    <s v="Validar el tiempo de respuesta y estabilidad del endpoint /api/dashboard bajo solicitudes concurrentes, asegurando que los indicadores del panel principal carguen correctamente sin errores ni bloqueos en el servidor."/>
    <s v="1-Autenticarse con un usuario que posea los permisos read_dashboard._x000a_2-Enviar 30 peticiones simultáneas al endpoint GET /api/dashboard con un token válido._x000a_3-Medir los tiempos de respuesta promedio, máximo y porcentaje de errores._x000a_4-Analizar el rendimiento a través del Summary Report de JMeter."/>
    <s v="Usuario con permisos read_dashboard autenticado.API disponible y estable.Token generado correctamente."/>
    <s v="Token Bearer válido.Endpoint: GET /api/dashboard."/>
    <s v="El 95% de las solicitudes deben completarse en menos de 1 segundo (1000 ms) y sin errores 5xx."/>
    <x v="0"/>
    <x v="1"/>
    <m/>
    <d v="2025-10-22T00:00:00"/>
    <d v="2025-10-22T00:00:00"/>
    <m/>
    <s v="GRISELDA"/>
    <s v="NO"/>
    <s v="NO"/>
    <s v="SHOULD"/>
  </r>
  <r>
    <s v="CP_51"/>
    <s v="CICLO"/>
    <s v=" Creación de un ciclo academico"/>
    <s v="Validación"/>
    <s v="Validar que la creación de un ciclo cumpla con todas las reglas de negocio."/>
    <s v="Nombre vacío o nulo _x000a_Fechas inválidas (inicio &gt; fin) _x000a_Ciclo duplicado (mismo nombre y periodo) _x000a_Estado por defecto = Activo "/>
    <s v="Usuario autenticado con permiso write_semesters"/>
    <s v="JSON con variaciones (nombre vacío, fechas invertidas, duplicado, sin estado)"/>
    <s v="Respuestas 422/409 según validación, o 201 con estado = Activo"/>
    <x v="2"/>
    <x v="0"/>
    <m/>
    <d v="2025-10-22T00:00:00"/>
    <d v="2025-10-22T00:00:00"/>
    <n v="25"/>
    <s v="GRISELDA"/>
    <s v="Si"/>
    <s v="SI"/>
    <s v="MUST"/>
  </r>
  <r>
    <s v="CP_52"/>
    <s v="CICLO"/>
    <s v="Listado de ciclos académicos"/>
    <s v="API"/>
    <s v="Validar el paginado y filtros en la lista de ciclos."/>
    <s v="Paginación con filtros de estado _x000a_Listado de ciclos activos "/>
    <s v="Usuario con permiso read_semesters"/>
    <s v="Parámetros: status=1, paginate=15"/>
    <s v="Respuesta 200 con estructura de paginación (data, current_page, per_page, total)"/>
    <x v="0"/>
    <x v="0"/>
    <m/>
    <d v="2025-10-22T00:00:00"/>
    <d v="2025-10-22T00:00:00"/>
    <n v="20"/>
    <s v="GRISELDA"/>
    <s v="Si"/>
    <s v="SI"/>
    <s v="MUST"/>
  </r>
  <r>
    <s v="CP_53"/>
    <s v="CICLO"/>
    <s v="Edición de ciclo académico"/>
    <s v="API"/>
    <s v="Validar la actualización de un ciclo existente."/>
    <s v="Actualización exitosa con campos válidos _x000a_Error por campos faltantes "/>
    <s v="Usuario con permiso write_semesters y ciclo existente"/>
    <s v="JSON válido e inválido"/>
    <s v="Respuesta 200 con objeto actualizado o 422 con errores de validación"/>
    <x v="0"/>
    <x v="0"/>
    <m/>
    <d v="2025-10-22T00:00:00"/>
    <d v="2025-10-22T00:00:00"/>
    <n v="20"/>
    <s v="GRISELDA"/>
    <s v="Si"/>
    <s v="SI"/>
    <s v="MUST"/>
  </r>
  <r>
    <s v="CP_54"/>
    <s v="CICLO"/>
    <s v="Eliminación de ciclo académico"/>
    <s v="API"/>
    <s v="Validar la eliminación de un ciclo sin dependencias."/>
    <s v="1. Enviar POST api/semesters sin campo estado._x000a_2. Revisar la respuesta de JSON._x000a_3. Verificar valor por defecto en base de datos."/>
    <s v="Usuario con permiso write_semesters y ciclo sin carga académica"/>
    <s v="ID válido"/>
    <s v="Respuesta 204 y posterior GET = 404"/>
    <x v="2"/>
    <x v="0"/>
    <m/>
    <d v="2025-10-22T00:00:00"/>
    <d v="2025-10-22T00:00:00"/>
    <n v="20"/>
    <s v="GRISELDA"/>
    <s v="Si"/>
    <s v="SI"/>
    <s v="MUST"/>
  </r>
  <r>
    <s v="CP_55"/>
    <s v="CICLO"/>
    <s v="Permisos de lectura en ciclos"/>
    <s v="Seguridad"/>
    <s v="Validar restricciones de lectura según rol."/>
    <s v="Usuario sin permiso read_semesters intentando listar ciclos "/>
    <s v="Usuario logueado sin permiso de lectura"/>
    <s v="GET /api/semesters?status=1"/>
    <s v="Respuesta 403 Forbidden"/>
    <x v="0"/>
    <x v="1"/>
    <m/>
    <d v="2025-10-23T00:00:00"/>
    <d v="2025-10-23T00:00:00"/>
    <n v="20"/>
    <s v="GRISELDA"/>
    <s v="Si"/>
    <s v="SI"/>
    <s v="MUST"/>
  </r>
  <r>
    <s v="CP_56"/>
    <s v="CICLO"/>
    <s v="Permisos de creación de ciclos"/>
    <s v="Seguridad"/>
    <s v="Validar que roles no admin no puedan crear ciclos."/>
    <s v="Usuario sin permiso write_semesters intentando crear ciclo "/>
    <s v="Usuario logueado con rol asistente"/>
    <s v="POST /api/semesters con JSON válido"/>
    <s v="Bloqueo de acceso a la ruta (sin permisos)"/>
    <x v="2"/>
    <x v="0"/>
    <m/>
    <d v="2025-10-23T00:00:00"/>
    <d v="2025-10-23T00:00:00"/>
    <n v="20"/>
    <s v="GRISELDA"/>
    <s v="Si"/>
    <s v="SI"/>
    <s v="MUST"/>
  </r>
  <r>
    <s v="CP_57"/>
    <s v="ESCUELAS"/>
    <s v="Listado de escuelas por facultad"/>
    <s v="API"/>
    <s v="Validar listado de escuelas con director asignado o “Sin asignar”, filtrado por nombre y paginación."/>
    <s v="Login como admin y obtener token_x000a_GET /schools/{id}_x000a_Verificar 200 OK y estructura JSON_x000a_Director activo _x000a_Búsqueda por nombre _x000a_Paginación _x000a_Ordenamiento por columnas "/>
    <s v="Facultad con &gt;=1 escuela, token válido"/>
    <s v="facultyId válido"/>
    <s v="JSON con listado de escuelas, directorName correcto, paginación y ordenamiento correcto"/>
    <x v="0"/>
    <x v="0"/>
    <m/>
    <d v="2025-10-23T00:00:00"/>
    <d v="2025-10-23T00:00:00"/>
    <n v="15"/>
    <s v="GRISELDA"/>
    <s v="Si"/>
    <s v="SI"/>
    <s v="MUST"/>
  </r>
  <r>
    <s v="CP_58"/>
    <s v="ESCUELAS"/>
    <s v="Creación de escuela"/>
    <s v="API"/>
    <s v="Editar escuela existente con datos correctos o inválidos."/>
    <s v="Login como admin_x000a_PUT /schools/{id} con JSON válido _x000a_PUT con datos faltantes o vacíos → error "/>
    <s v="Obtener token como administrador._x000a_Escuela con autoridad activa"/>
    <s v="facultyId válido"/>
    <s v="201 CREATED o mensaje de error según validación o bloqueo por permisos"/>
    <x v="2"/>
    <x v="1"/>
    <m/>
    <d v="2025-10-23T00:00:00"/>
    <d v="2025-10-23T00:00:00"/>
    <n v="20"/>
    <s v="GRISELDA"/>
    <s v="Si"/>
    <s v="SI"/>
    <s v="MUST"/>
  </r>
  <r>
    <s v="CP_59"/>
    <s v="ESCUELAS"/>
    <s v="Edición de escuela"/>
    <s v="API"/>
    <s v="Crea escuela bajo la facultad indicada y una creación exitosa del registro."/>
    <s v="1. Login._x000a_2.  POST /api/faculties/{facultyId}/schools con JSON válido._x000a_3. Verificar el resultado."/>
    <s v="Obtener token como administrador._x000a_Facultad existe."/>
    <s v="id, nombre actualizado"/>
    <s v="200 OK con JSON actualizado o 422 con error de validación"/>
    <x v="1"/>
    <x v="0"/>
    <m/>
    <d v="2025-10-24T00:00:00"/>
    <d v="2025-10-24T00:00:00"/>
    <n v="15"/>
    <s v="GRISELDA"/>
    <s v="Si"/>
    <s v="SI"/>
    <s v="MUST"/>
  </r>
  <r>
    <s v="CP_60"/>
    <s v="ESCUELAS"/>
    <s v="Eliminación de escuela"/>
    <s v="API"/>
    <s v="Eliminar escuela, validando dependencias."/>
    <s v="Login como admin_x000a_DELETE /schools/{id} para escuela sin materias → éxito_x000a_DELETE escuela con materias → error"/>
    <s v="Obtener token como administrador._x000a_Escuela existente."/>
    <s v="id de escuela"/>
    <s v="204 No Content si no hay dependencias; mensaje de error si existen dependencias"/>
    <x v="0"/>
    <x v="0"/>
    <m/>
    <d v="2025-10-24T00:00:00"/>
    <d v="2025-10-24T00:00:00"/>
    <n v="15"/>
    <s v="GRISELDA"/>
    <s v="Si"/>
    <s v="SI"/>
    <s v="MUST"/>
  </r>
  <r>
    <s v="CP_61"/>
    <s v="ESCUELAS"/>
    <s v="Permisos de acceso "/>
    <s v="Seguridad"/>
    <s v="Validar que roles sin permisos no puedan leer ni crear escuelas."/>
    <s v="Login con usuario sin permiso_x000a_GET /schools/{id} → 403 Forbidden _x000a_Intento de acceso a creación → bloqueo "/>
    <s v="Usuario sin permisos"/>
    <s v="N/A"/>
    <s v="Bloqueo de acceso o respuesta 403 según tipo de prueba"/>
    <x v="2"/>
    <x v="0"/>
    <m/>
    <d v="2025-10-24T00:00:00"/>
    <d v="2025-10-24T00:00:00"/>
    <n v="30"/>
    <s v="GRISELDA"/>
    <s v="Si"/>
    <s v="SI"/>
    <s v="MUST"/>
  </r>
  <r>
    <s v="CP_62"/>
    <s v="CARGOS"/>
    <s v="Ver detalles de cargo"/>
    <s v="Funcional"/>
    <s v="Visualizar el detalle de un cargo (incluye actividades asociadas) y validar consistencia de datos."/>
    <s v="1) Abrir Cargos._x000a_2) Seleccionar un registro._x000a_3) Clic en Detalles._x000a_4) Verificar que el Nombre y la lista de Actividades coincidan con el registro del listado."/>
    <s v="Rol Administrador con permiso read_positions; cargo con actividades asociadas."/>
    <s v="N/A"/>
    <s v="Se muestran los datos del cargo y sus actividades sin inconsistencias; el modal/página de detalle cierra sin errores."/>
    <x v="1"/>
    <x v="0"/>
    <m/>
    <d v="2025-10-24T00:00:00"/>
    <d v="2025-10-24T00:00:00"/>
    <n v="15"/>
    <s v="GRISELDA"/>
    <s v="NO"/>
    <s v="NO"/>
    <s v="WONT"/>
  </r>
  <r>
    <s v="CP_63"/>
    <s v="CARGOS"/>
    <s v="Acceso restringido a Cargos para rol no Administrador"/>
    <s v="Seguridad"/>
    <s v="Verificar que un usuario sin permisos no pueda acceder/gestionar el módulo Cargos."/>
    <s v="1) Iniciar sesión con rol ≠ Administrador (p. ej., Candidato/Director)._x000a_2) Intentar acceder a Catálogos → Cargos en la UI._x000a_3) (Adicional) Acceder por URL directa a la ruta del módulo._x000a_4) Registrar el comportamiento (oculto/denegado)."/>
    <s v="Usuario con rol sin permiso read_positions/write_positions."/>
    <s v="Credenciales de usuario no admin."/>
    <s v="El módulo no es visible en el menú y/o se deniega el acceso (mensaje o redirección), sin exponer datos del catálogo."/>
    <x v="0"/>
    <x v="1"/>
    <m/>
    <d v="2025-10-24T00:00:00"/>
    <d v="2025-10-24T00:00:00"/>
    <n v="30"/>
    <s v="GRISELDA"/>
    <s v="NO"/>
    <s v="NO"/>
    <s v="WONT"/>
  </r>
  <r>
    <s v="CP_64"/>
    <s v="TIPOS DE GRUPO"/>
    <s v="Listar tipos de grupos registrados."/>
    <s v="Funcional"/>
    <s v="Verificar en sistema que los tipos de grupoo  registrados en la base de datos, presentan la información en JSON con la esctructura esperada y en caso que no exista ningún dato retornar el arreglo vacío."/>
    <s v="1. Login como Administrador (con permiso de escritura)._x000a_2. Guardar token._x000a_3. POST /groupTypes._x000a_4. Validar que se cree y devuelva el objeto creado._x000a_1. Login como Director de escuela (con permiso de lectura)._x000a_2. Guardar token (Sanctum se encarga de simularlo)._x000a_3. GET /groupTypes._x000a_4. Validar que retorne un array JSON._x000a_"/>
    <s v="Obtener token como administrador o director"/>
    <s v="N/A"/>
    <s v="Se espera que responda con un código 200 OK. El cuerpo será json con los campos de id, name, created_at,  deleted_at y updated_at ordenado por tipo de grupo."/>
    <x v="0"/>
    <x v="0"/>
    <m/>
    <d v="2025-10-26T00:00:00"/>
    <d v="2025-10-26T00:00:00"/>
    <n v="30"/>
    <s v="GRISELDA"/>
    <s v="Si"/>
    <s v="SI"/>
    <s v="SHOULD"/>
  </r>
  <r>
    <s v="CP_65"/>
    <s v="TIPOS DE GRUPO"/>
    <s v="Eliminar un tipo de grupo "/>
    <s v="Funcional"/>
    <s v="El sistema debe permitir la eliminación de un tipo de grupo existente solo si el usuario cuenta con los permisos necesarios (write_groupsType). Al ejecutar la acción correctamente, el registro debe eliminarse de la base de datos (o marcarse como eliminado si se utiliza soft delete), y la respuesta debe confirmar que la operación se realizó con éxito (200 OK o 204 No Content)."/>
    <s v="1._x0009_POST api/auth/login como administrador (usuario con permiso write_groupsType)._x000a_2._x0009_Guardar token de autenticación._x000a_3._x0009_Seleccionar el ID del tipo de grupo que se desea eliminar._x000a_•_x0009_DELETE /api/groupTypes/{id} con headers:_x000a_•_x0009_Accept: application/json_x000a_•_x0009_Authorization: Bearer {token}_x000a_4._x0009_Validar la respuesta:_x000a_5._x0009_Código esperado: 200 OK_x000a_"/>
    <s v="Obtener token como administrador._x000a_tipos de grupo existente."/>
    <s v="Name: &quot;tipo de grupo actualizado&quot;."/>
    <s v="Se espera que responda con un código 200 OK. Y el json del detalle del objeto actualizacido el nombre y el campo updated_at."/>
    <x v="0"/>
    <x v="0"/>
    <m/>
    <d v="2025-10-26T00:00:00"/>
    <d v="2025-10-26T00:00:00"/>
    <n v="30"/>
    <s v="GRISELDA"/>
    <s v="Si"/>
    <s v="SI"/>
    <s v="SHOULD"/>
  </r>
  <r>
    <s v="CP_66"/>
    <s v="CARGA ACADEMICA"/>
    <s v="Crear carga académica válida"/>
    <s v="Funcional"/>
    <s v="Validar que un usuario autorizado pueda registrar una carga académica."/>
    <s v="1. POST /api/auth/login con usuario director de escuela._x000a_2. Guardar token._x000a_3. POST /academicLoad con datos de carga académica._x000a_4. Validar respuesta 201._x000a_5. GET /academicLoad para verificar existencia del registro."/>
    <s v="Obtener token como administrador._x000a_Usuario autenticado con permiso write_academicLoad._x000a_No debe existir carga académica con mismo período y escuela._x000a_API y BD disponibles."/>
    <s v="{periodo: &quot;2025-1&quot;, carrera: &quot;Ing. Sistemas&quot;}"/>
    <s v="Se guarda la carga y se espera que devuelva confirmacion con un código 201 OK. Created + objeto creado."/>
    <x v="0"/>
    <x v="0"/>
    <m/>
    <d v="2025-10-22T00:00:00"/>
    <m/>
    <n v="20"/>
    <s v="JOSE"/>
    <s v="Si"/>
    <s v="SI"/>
    <s v="SHOULD"/>
  </r>
  <r>
    <s v="CP_67"/>
    <s v="CARGA ACADEMICA"/>
    <s v="Listar todas las cargas académicas"/>
    <s v="Funcional"/>
    <s v="Verificar que un usuario autorizado pueda listar todas las cargas."/>
    <s v="1. POST /api/auth/login como administrador._x000a_2. Guardar token._x000a_3. GET /academicLoad._x000a_4. Validar que la respuesta JSON contenga registros."/>
    <s v="Obtener token como administrador._x000a_Usuario con permiso read_academicLoad._x000a_Existen registros de cargas académicas en BD."/>
    <s v="N/A"/>
    <s v="Devuelve listado completo en JSON."/>
    <x v="1"/>
    <x v="0"/>
    <m/>
    <d v="2025-10-22T00:00:00"/>
    <m/>
    <n v="15"/>
    <s v="JOSE"/>
    <s v="Si"/>
    <s v="SI"/>
    <s v="SHOULD"/>
  </r>
  <r>
    <s v="CP_68"/>
    <s v="CARGA ACADEMICA"/>
    <s v="Consultar cargas por escuela"/>
    <s v="Funcional"/>
    <s v="Validar filtrado de cargas por escuela."/>
    <s v="1._x0009_POST /api/auth/login administrador._x000a_2._x0009_ Guardar token._x000a_3._x0009_ GET /academicLoad/all/bySchool._x000a_4._x0009_ Validar que solo aparezcan cargas de la escuela._x000a_"/>
    <s v="Obtener token como administrador._x000a_Usuario con permisos read_academicLoad._x000a_Escuela válida._x000a_Cargas existentes asociadas a escuela._x000a_"/>
    <s v="Escuela=&quot;Ingeniería&quot;"/>
    <s v="JSON con cargas solo de Ingeniería."/>
    <x v="1"/>
    <x v="1"/>
    <m/>
    <d v="2025-10-22T00:00:00"/>
    <d v="2025-10-22T00:00:00"/>
    <n v="15"/>
    <s v="JOSE"/>
    <s v="Si"/>
    <s v="NO"/>
    <s v="SHOULD"/>
  </r>
  <r>
    <s v="CP_69"/>
    <s v="GRUPOS"/>
    <s v="Registrar grupo en carga académica"/>
    <s v="API"/>
    <s v="Validar creación de grupo dentro de carga existente."/>
    <s v="1._x0009_POST /api/auth/login director de escuela._x000a_2._x0009_ Guardar token._x000a_3._x0009_ POST /academicLoad/{id}/groups con datos de grupo._x000a_4._x0009_ GET /academicLoad/{id}/groups para verificar registro_x000a_"/>
    <s v="Obtener token como director de escuela_x000a_Carga académica existente.Usuario con permiso write_groups._x000a_API disponible."/>
    <s v="{ &quot;codigo&quot;:&quot;G1&quot;, &quot;seccion&quot;:&quot;A&quot; }"/>
    <s v="Grupo creado y visible en GET."/>
    <x v="0"/>
    <x v="0"/>
    <m/>
    <d v="2025-10-22T00:00:00"/>
    <m/>
    <n v="20"/>
    <s v="JOSE"/>
    <s v="Si"/>
    <s v="NO"/>
    <s v="SHOULD"/>
  </r>
  <r>
    <s v="CP_70"/>
    <s v="GRUPOS"/>
    <s v="Asignar profesor a grupo"/>
    <s v="API"/>
    <s v="Validar asignación de profesor a grupo existente."/>
    <s v="1._x0009_POST /api/auth/login administrador._x000a_2._x0009_Guardar token._x000a_3._x0009_PUT /groups/{id}/professor con ID profesor._x000a_4._x0009_GET /groups/{id} para confirmar asignación._x000a_"/>
    <s v="Obtener token como administrador._x000a_Grupo existente._x000a_Profesor registrado._x000a_Usuario con permiso write_groups._x000a_"/>
    <s v="{ &quot;profesor_id&quot;:25 }"/>
    <s v="Profesor asignado correctamente."/>
    <x v="0"/>
    <x v="0"/>
    <m/>
    <d v="2025-10-22T00:00:00"/>
    <m/>
    <n v="20"/>
    <s v="JOSE"/>
    <s v="NO"/>
    <s v="NO"/>
    <s v="SHOULD"/>
  </r>
  <r>
    <s v="CP_71"/>
    <s v="FORMATOS"/>
    <s v="Listar todos los formatos registrados"/>
    <s v="API"/>
    <s v="Verificar que un usuario con rol candidato pueda listar los formatos registrados en la base de datos."/>
    <s v="1._x0009_POST /api/auth/login como candidato._x000a_2._x0009_Guardar token._x000a_3._x0009_GET /formats._x000a_4._x0009_Validar que se retorne un array JSON con los registros._x000a_"/>
    <s v="Obtener token como candidato._x000a_Debe haber al menos un formato en la tabla de base de datos._x000a_"/>
    <s v="N/A"/>
    <s v="Responde con 200 OK.El JSON contiene id, name, created_at, updated_at."/>
    <x v="0"/>
    <x v="0"/>
    <m/>
    <d v="2025-10-23T00:00:00"/>
    <d v="2025-10-23T00:00:00"/>
    <n v="30"/>
    <s v="GRISELDA"/>
    <s v="NO"/>
    <s v="NO"/>
    <s v="SHOULD"/>
  </r>
  <r>
    <s v="CP_72"/>
    <s v="FORMATOS"/>
    <s v="Consultar formato por ID "/>
    <s v="API"/>
    <s v="Validar que un usuario con rol candidato pueda consultar un formato existente mediante su identificador."/>
    <s v="1._x0009_POST /api/auth/login como candidato._x000a_2._x0009_Guardar token._x000a_3._x0009_GET /formats/{id} con un ID válido._x000a_4._x0009_Validar respuesta del sistema._x000a_"/>
    <s v="Obtener token como candidato._x000a_Debe existir un registro con ese ID en la BD._x000a_"/>
    <s v="ID = 1 "/>
    <s v="Responde con 200 OK._x000a_El JSON contiene los datos completos del formato consultado._x000a_"/>
    <x v="0"/>
    <x v="0"/>
    <m/>
    <d v="2025-10-23T00:00:00"/>
    <d v="2025-10-23T00:00:00"/>
    <n v="30"/>
    <s v="GRISELDA"/>
    <s v="Si"/>
    <s v="SI"/>
    <s v="SHOULD"/>
  </r>
  <r>
    <s v="CP_73"/>
    <s v="FORMATOS"/>
    <s v="Descargar plantilla de materias en Excel"/>
    <s v="API"/>
    <s v="Validar que el candidato pueda descargar correctamente la plantilla de materias en formato Excel."/>
    <s v="1._x0009_POST /api/auth/login como candidato._x000a_2._x0009_Guardar token_x000a_1._x0009_.3. GET /formats/excel/download._x000a_3._x0009_Validar que se descargue un archivo con extensión .xlsx._x000a_"/>
    <s v="Obtener token como candidato. _x000a_Servicio de exportación habilitado._x000a_"/>
    <s v="N/A"/>
    <s v="Se descarga archivo Excel con nombre plantilla_materias.xlsx con estructura válida de materias."/>
    <x v="2"/>
    <x v="0"/>
    <m/>
    <d v="2025-10-23T00:00:00"/>
    <d v="2025-10-23T00:00:00"/>
    <n v="30"/>
    <s v="GRISELDA"/>
    <s v="Si"/>
    <s v="SI"/>
    <s v="SHOULD"/>
  </r>
  <r>
    <s v="CP_74"/>
    <s v="BANCOS"/>
    <s v="Listar bancos registrados."/>
    <s v="API"/>
    <s v="Verificar que el sistema devuelva el catálogo de bancos registrados en la base de datos, presentando la información en JSON con la esctructura esperada y en caso que no exista ningún dato retornar el arreglo vacío."/>
    <s v="1. POST api/auth/login como administrador._x000a_2. Guardar token._x000a_3. GET api/banks?._x000a_4. Validar que nos retorna un array ordenado por nombre de banco."/>
    <s v="Obtener token como administrador."/>
    <s v="N/A"/>
    <s v="Se espera que responda con un código 200 OK. El cuerpo será json con los campos de id, name, created_at,  deleted_at y updated_at ordenado por nombre de banco."/>
    <x v="0"/>
    <x v="0"/>
    <m/>
    <d v="2025-10-24T00:00:00"/>
    <m/>
    <n v="15"/>
    <s v="JOSE"/>
    <s v="Si"/>
    <s v="SI"/>
    <s v="SHOULD"/>
  </r>
  <r>
    <s v="CP_75"/>
    <s v="BANCOS"/>
    <s v="Crear registro de banco válido."/>
    <s v="API"/>
    <s v="Creación de registro de banco enviando como parametro el nombre del banco a registrar."/>
    <s v="1. POST api/auth/login como administrador._x000a_2. Guardar token._x000a_3. POST /api/banks y con Accept:application/json, Content-Type:application/json, Authorization:Bearer._x000a_4. Adición de parametro name._x000a_5. Validar la creación y el llenado correcto de los datos."/>
    <s v="Obtener token como administrador."/>
    <s v="Name: &quot;Cooperativa Constelación&quot;."/>
    <s v="Se espera que responda con un código 201 CREATED. Y retorna el formato JSON los campos id, name,  created_at y updated_at con la fecha de creación. El campo de deleted_at se registra null."/>
    <x v="2"/>
    <x v="0"/>
    <m/>
    <d v="2025-10-24T00:00:00"/>
    <m/>
    <n v="20"/>
    <s v="JOSE"/>
    <s v="Si"/>
    <s v="SI"/>
    <s v="SHOULD"/>
  </r>
  <r>
    <s v="CP_76"/>
    <s v="BANCOS"/>
    <s v="Actualizar nombre de banco registrado"/>
    <s v="API"/>
    <s v="Actualizar el nombre de un banco que se encuentra registrado y que cumpla con los requisitos de no duplicidad y menor a 200 caracteres."/>
    <s v="1.POST api/auth/login como administrador._x000a_2. Guardar token._x000a_3. PUT /api/banks/{id} con {&quot;name&quot;:&quot;Banco actualizado&quot;}-_x000a_4. Validación de respuesta."/>
    <s v="Obtener token como administrador._x000a_Registro de banco existente."/>
    <s v="Name: &quot;Banco Actualizado&quot;."/>
    <s v="Se espera que responda con un código 200 OK. Y el json del detalle del objeto actualizacido el nombre y el campo updated_at."/>
    <x v="0"/>
    <x v="0"/>
    <m/>
    <d v="2025-10-24T00:00:00"/>
    <m/>
    <n v="10"/>
    <s v="JOSE"/>
    <s v="Si"/>
    <s v="SI"/>
    <s v="SHOULD"/>
  </r>
  <r>
    <s v="CP_77"/>
    <s v="BANCOS"/>
    <s v="Eliminar banco sin dependencias "/>
    <s v="API"/>
    <s v="Al eliminar un registro de banco ingresado y este no tenga relación con ningún candidato."/>
    <s v="1.POST api/auth/login como administrador._x000a_2. Guardar token._x000a_3. Verificar en base de datos de bank con person que no tenga relaciones activas._x000a_4. DELETE /api/banks/{id} _x000a_5. GET por /api/banks/{id}"/>
    <s v="Obtener token como administrador._x000a_Registro de banco existente._x000a_Registro banco no tiene relaciones activas con Person"/>
    <s v="id válido"/>
    <s v="Se espera responda con un código 204 No Content. Y en la  validación de GET debe retornar un código 404 NOT FOUND. El registro se elimina."/>
    <x v="2"/>
    <x v="0"/>
    <m/>
    <d v="2025-10-24T00:00:00"/>
    <m/>
    <n v="10"/>
    <s v="JOSE"/>
    <s v="Si"/>
    <s v="SI"/>
    <s v="SHOULD"/>
  </r>
  <r>
    <s v="CP_78"/>
    <s v="BANCOS"/>
    <s v="Permisos de lectura para rol diferente a administrador en Bancos"/>
    <s v="API"/>
    <s v="Verificar que otros roles diferentes a administrador no tenga permiso de lectura a la información de bancos."/>
    <s v="1. POST api/auth/login con un rol diferente a administrador._x000a_2. GET /api/banks"/>
    <s v="Obtención de token de un rol sin permiso a Bancos"/>
    <s v="N/A"/>
    <s v="Responde con un código 403 Forbbiden (middleware can:read_banks)."/>
    <x v="0"/>
    <x v="0"/>
    <m/>
    <d v="2025-10-24T00:00:00"/>
    <m/>
    <n v="30"/>
    <s v="JOSE"/>
    <s v="Si"/>
    <s v="SI"/>
    <s v="SHOULD"/>
  </r>
  <r>
    <s v="CP_79"/>
    <s v="EMPLEADOS"/>
    <s v="Crear empleado duplicado"/>
    <s v="Negocio"/>
    <s v="Validar que el sistema no permita crear un segundo registro de empleado para la misma persona. Ante un reintento del endpoint POST /employees/me con usuario que ya es empleado no debe registrar nuevos registros ni duplicar relaciones/pivotes ni bitácora."/>
    <s v="1. Autenticarse y obtener token válido con permisos de escritura a empleados y con persona existente._x000a_2. Ejecutar POST /employees/me con datos válidos._x000a_3. Sin cambiar de usuario, repetir POST /employees/me con la misma información._x000a_4. Verificar el resultado obtenido."/>
    <s v="Usuario autenticado con token válido._x000a_El usuario tiene person asociada._x000a_Catálogos existentes y válidos de facultad, escalafón y tipo de contrato."/>
    <s v="&quot;journey_type&quot;: &quot;tiempo-completo&quot;,_x000a_&quot;faculty_id&quot;: 2,_x000a_&quot;escalafon_id&quot;: 3,_x000a_&quot;employee_types&quot;: [1, 4],_x000a_&quot;partida&quot;: &quot;P-001&quot;,_x000a_&quot;sub_partida&quot;: &quot;SP-01&quot;"/>
    <s v="Para la primera ejecución debe retornar código 201 CREATED con objeto Employee. Para el segundo intento debe retornar 422 Unprocessable Entity con mensaje: &quot;El usuario ya se registro como empleado&quot;, no permite ingreso de duplicados, sin nueva entrada al segundo intento."/>
    <x v="1"/>
    <x v="0"/>
    <m/>
    <d v="2025-10-26T00:00:00"/>
    <d v="2025-10-26T00:00:00"/>
    <n v="30"/>
    <s v="JOSE"/>
    <s v="NO"/>
    <s v="NO"/>
    <s v="COULD"/>
  </r>
  <r>
    <s v="CP_80"/>
    <s v="EMPLEADOS"/>
    <s v="Privacidad en la exposición de datos en listados de empleados"/>
    <s v="Seguridad"/>
    <s v="Verificar que los endpoints de listado no expongan datos sensibles en texto claro (DUI, NIT, teléfono, pasaporte, NUP/ISSS, cuenta bancaria, tokens). Los campos sensibles deben venir enmascarados o no incluidos en el JSON."/>
    <s v="1. Autenticarse con un usuario con permiso de lectura candidatos/personas._x000a_2. Ejecutar GET /persons._x000a_3. Ejecutar GET /candidates/all con y sin filtros._x000a_4. Revisar cada respuesta JSON y comprobar presencia/ausencia de: dui, nit, telephone/phone, passport_number, isss, nup, bank_*, tokens._x000a_5. Validar que, si se muestran, estén enmascarados (por ejemplo dui_masked, phone_masked) y que no existan los valores crudos."/>
    <s v="Usuario autenticado con permisos de lectura._x000a_Existencia de registros de Personas/Candidatos para que los listados devuelvan datos."/>
    <s v="Headers: Authorization: Bearer &lt;token&gt;_x000a_Query params: search=ana, hiringType=SPNP, hiringType=RP."/>
    <s v="Se espera que retorne código 200 - OK, el JSON no deben contener valores crudos de campos sensibles ni tokens."/>
    <x v="0"/>
    <x v="0"/>
    <m/>
    <d v="2025-10-26T00:00:00"/>
    <d v="2025-10-26T00:00:00"/>
    <n v="30"/>
    <s v="JOSE"/>
    <s v="NO"/>
    <s v="NO"/>
    <s v="SHOULD"/>
  </r>
  <r>
    <s v="CP_81"/>
    <s v="ACTIVIDADES DE DOCENTES"/>
    <s v="Listar actividades (API) con permisos"/>
    <s v="API"/>
    <s v="Obtener el listado de actividades usando el recurso correcto /api/activities."/>
    <s v="1. POST /api/auth/login con usuario con read_activities._x000a_2. Guardar token._x000a_3. GET /api/activities con headers Accept: application/json, Authorization: Bearer {token}."/>
    <s v="Usuario válido con permiso read_activities."/>
    <s v="token válido"/>
    <s v="200 OK y arreglo JSON de actividades."/>
    <x v="1"/>
    <x v="0"/>
    <m/>
    <d v="2025-10-21T00:00:00"/>
    <d v="2025-10-21T00:00:00"/>
    <n v="10"/>
    <s v="GRISELDA"/>
    <s v="Si"/>
    <s v="SI"/>
    <s v="SHOULD"/>
  </r>
  <r>
    <s v="CP_82"/>
    <s v="ACTIVIDADES DE DOCENTES"/>
    <s v="Crear actividad duplicada (API)"/>
    <s v="API"/>
    <s v="Intentar crear una actividad con descripción ya existente."/>
    <s v="1. Login con write_activities._x000a_2. POST /api/activities con descripción existente._x000a_3. Observar respuesta."/>
    <s v="Existe una actividad previa con misma description."/>
    <s v="token; { &quot;description&quot;: &quot;Tutoría&quot; }"/>
    <s v="422 Unprocessable Entity (o error de validación). No se crea duplicado."/>
    <x v="0"/>
    <x v="0"/>
    <m/>
    <d v="2025-10-21T00:00:00"/>
    <d v="2025-10-21T00:00:00"/>
    <n v="10"/>
    <s v="GRISELDA"/>
    <s v="Si"/>
    <s v="SI"/>
    <s v="SHOULD"/>
  </r>
  <r>
    <s v="CP_83"/>
    <s v="ACTIVIDADES DE DOCENTES"/>
    <s v="Editar actividad (API) con permisos"/>
    <s v="API"/>
    <s v="Actualizar la descripción de una actividad con el endpoint correcto."/>
    <s v="1. Login con write_activities (token)._x000a_2. PUT /api/activities/{id} con { &quot;description&quot;: &quot;Tutoría (8 h/sem)&quot; }._x000a_3. GET /api/activities/{id} para validar el cambio."/>
    <s v="Permiso write_activities; actividad {id} existente."/>
    <s v="token; id; body"/>
    <s v="200 OK y campo actualizado."/>
    <x v="1"/>
    <x v="0"/>
    <m/>
    <d v="2025-10-21T00:00:00"/>
    <d v="2025-10-21T00:00:00"/>
    <n v="10"/>
    <s v="GRISELDA"/>
    <s v="Si"/>
    <s v="SI"/>
    <s v="SHOULD"/>
  </r>
  <r>
    <s v="CP_84"/>
    <s v="FACULTADES"/>
    <s v="Crear facultad (API) con permisos"/>
    <s v="API"/>
    <s v="Crear una facultad vía API usando el recurso correcto /api/faculties."/>
    <s v="1. POST /api/auth/login como usuario con write_faculties._x000a_2. Guardar token._x000a_3. POST /api/faculties con headers Accept: application/json, Authorization: Bearer {token} y body JSON { &quot;name&quot;: &quot;Facultad de Ciencias&quot; }._x000a_4. (Verificación) GET /api/faculties para confirmar que aparece."/>
    <s v="Usuario válido con permiso write_faculties."/>
    <s v="token; body { &quot;name&quot;: &quot;Facultad de Ciencias&quot; }"/>
    <s v="201 Created (o 200 OK según implementación) y registro persistido en listado."/>
    <x v="0"/>
    <x v="0"/>
    <m/>
    <d v="2025-10-26T00:00:00"/>
    <d v="2025-10-26T00:00:00"/>
    <n v="30"/>
    <s v="JOSE"/>
    <s v="Si"/>
    <s v="SI"/>
    <s v="SHOULD"/>
  </r>
  <r>
    <s v="CP_85"/>
    <s v="FACULTADES"/>
    <s v="Eliminar facultad sin permisos (API)"/>
    <s v="API"/>
    <s v="Intentar eliminar una facultad sin el permiso write_faculties. Debe rechazarse."/>
    <s v="1. POST /api/auth/login como usuario sin write_faculties._x000a_2. Guardar token._x000a_3. DELETE /api/faculties/{id} con headers Accept: application/json, Authorization: Bearer {token}._x000a_4. (Opcional) GET /api/faculties/{id} para confirmar que existe."/>
    <s v="Usuario válido sin write_faculties; existe facultad {id}."/>
    <s v="token; id de facultad"/>
    <s v="403 Forbidden. El registro no se elimina ni modifica."/>
    <x v="0"/>
    <x v="0"/>
    <m/>
    <d v="2025-10-26T00:00:00"/>
    <d v="2025-10-26T00:00:00"/>
    <n v="30"/>
    <s v="JOSE"/>
    <s v="Si"/>
    <s v="SI"/>
    <s v="SHOULD"/>
  </r>
  <r>
    <s v="CP_86"/>
    <s v="FACULTADES"/>
    <s v="Editar facultad (API) con permisos"/>
    <s v="API"/>
    <s v="Actualizar el nombre de una facultad usando /api/faculties/{id}."/>
    <s v="1. Login con usuario con write_faculties; guardar token._x000a_2. PUT /api/faculties/{id} con headers y body { &quot;name&quot;: &quot;Facultad de Ciencias (FCE)&quot; }._x000a_3. (Verificación) GET /api/faculties/{id} para validar el nuevo nombre."/>
    <s v="Usuario con write_faculties; existe facultad {id}."/>
    <s v="token; id; body { &quot;name&quot;: &quot;Facultad de Ciencias (FCE)&quot; }"/>
    <s v="200 OK y el campo name actualizado."/>
    <x v="1"/>
    <x v="0"/>
    <m/>
    <d v="2025-10-26T00:00:00"/>
    <d v="2025-10-26T00:00:00"/>
    <n v="30"/>
    <s v="JOSE"/>
    <s v="Si"/>
    <s v="SI"/>
    <s v="SHOULD"/>
  </r>
  <r>
    <s v="CP_87"/>
    <s v="FACULTADES"/>
    <s v="Listar facultades (API) con permisos"/>
    <s v="API"/>
    <s v="Obtener el listado usando el recurso correcto /api/faculties."/>
    <s v="1. Login con usuario con read_faculties; token._x000a_2. GET /api/faculties con headers Accept y Authorization."/>
    <s v="Usuario con read_faculties."/>
    <s v="token"/>
    <s v="200 OK y arreglo JSON con facultades."/>
    <x v="1"/>
    <x v="0"/>
    <m/>
    <d v="2025-10-26T00:00:00"/>
    <d v="2025-10-26T00:00:00"/>
    <n v="30"/>
    <s v="JOSE"/>
    <s v="Si"/>
    <s v="SI"/>
    <s v="SHOULD"/>
  </r>
  <r>
    <s v="CP_88"/>
    <s v="FACULTADES"/>
    <s v="Crear facultad duplicada (API)"/>
    <s v="API"/>
    <s v="Intentar crear una facultad con nombre ya existente."/>
    <s v="1. Login con write_faculties; token._x000a_2. POST /api/faculties con name ya registrado._x000a_3. Observar respuesta."/>
    <s v="Existe una facultad previa con el mismo name."/>
    <s v="token; body { &quot;name&quot;: &quot;Facultad de Ciencias&quot; }"/>
    <s v="422 Unprocessable Entity (o error de validación equivalente) y no se crea un duplicado."/>
    <x v="0"/>
    <x v="0"/>
    <m/>
    <d v="2025-10-26T00:00:00"/>
    <d v="2025-10-26T00:00:00"/>
    <n v="30"/>
    <s v="JOSE"/>
    <s v="Si"/>
    <s v="SI"/>
    <s v="SHOULD"/>
  </r>
  <r>
    <s v="CP_89"/>
    <s v="REVISION DE DOCUMENTOS"/>
    <s v="Listar documentos por estado y candidato"/>
    <s v="API"/>
    <s v="Obtener documentos con filtros de status y candidate_id, con paginación consistente y estructura JSON válida. Validar que todos los ítems cumplen los filtros y que los metadatos de paginación son coherentes con el tamaño de la colección."/>
    <s v="1. Autenticarse como RRHH con permisos de lectura._x000a_2. Enviar GET a /documents/review?status=PENDIENTE&amp;candidate_id=&lt;ID&gt;&amp;page=1&amp;per_page=50._x000a_3. Verificar el resultado obtenido._x000a_4. Validar filtro por estado: cada elemento del arreglo tiene status == &quot;PENDIENTE&quot;._x000a_5. Validar filtro por candidato: cada elemento tiene candidate_id == &lt;ID&gt;._x000a_6. Validar la paginación._x000a_7. Validación de estructura minima de cada item: id, candidate_id, status, type, reviewer_id, observation, version."/>
    <s v="Autenticarse como usuario RRHH._x000a_Existen documentos en varios estados."/>
    <s v="status=PENDIENTE_x000a_candidate_id=&lt;ID&gt;_x000a_page=1_x000a_per_page=50"/>
    <s v="Se espera que retorne código 200 OK con data filtrada (todos status=PENDIENTE y candidate_id=&lt;ID&gt;) y meta de paginación consistente; estructura JSON válida y estable."/>
    <x v="0"/>
    <x v="0"/>
    <m/>
    <d v="2025-10-26T00:00:00"/>
    <d v="2025-10-26T00:00:00"/>
    <n v="30"/>
    <s v="JOSE"/>
    <s v="Si"/>
    <s v="SI"/>
    <s v="SHOULD"/>
  </r>
  <r>
    <s v="CP_90"/>
    <s v="REVISION DE DOCUMENTOS"/>
    <s v="Aprobar documento de candidato"/>
    <s v="API"/>
    <s v="Cambiar estado de un documento PENDIENTE a APROBADO mediante PATCH con observación opcional. Verificar respuesta HTTP, cuerpo JSON, persistencia, salida de la bandeja de “Pendientes”, y registro en Bitácora/Worklog."/>
    <s v="1. Autenticarse como RRHH con permisos de revisión._x000a_2. Localizar documento PENDIENTE del candidato: GET /documents/review? status=PENDIENTE&amp;candidate_id=&lt;ID&gt;&amp;page=1 y tomar document_id_x000a_3. Aprobar el documento: PATCH /documents/{document_id}/review._x000a_4. Verificar el resultado obtenido._x000a_5. Confirmar persistencia de datos._x000a_6. Verificar ingreso en bitácora._x000a_7. Desde la vista de empleado GET de sus documentos muestra el elemento en APROBADO y la observación asociada "/>
    <s v="Autenticarse como usuario RRHH._x000a_Existen documentos en estado pendiente."/>
    <s v="status=APROBADO; _x000a_observation='OK'"/>
    <s v="Se espera que retorne código 200 OK, el documento pasa a APROBADO y queda fuera de la bandeja de PENDIENTE; se registra auditoría con usuario y timestamp; la observación queda asociada."/>
    <x v="0"/>
    <x v="0"/>
    <m/>
    <d v="2025-10-26T00:00:00"/>
    <d v="2025-10-26T00:00:00"/>
    <n v="30"/>
    <s v="JOSE"/>
    <s v="Si"/>
    <s v="SI"/>
    <s v="MUST"/>
  </r>
  <r>
    <s v="CP_91"/>
    <s v="REVISION DE DOCUMENTOS"/>
    <s v="Validación de permisos sobre verificación de documentos"/>
    <s v="Seguridad"/>
    <s v="Usuarios sin rol RRHH. no pueden revisar/actualizar estados de documentos. Debe responder 403 Forbidden y no producir efectos en BD ni Worklog."/>
    <s v="1. Obtener token como usuario de candidato._x000a_2. Localizar document_id PENDIENTE del candidato_x000a_3. Enviar PATCH /documents/{document_id}/review con TOKEN_CAND y con los datos correctos._x000a_4. Intentar GET /documents/review?status=PENDIENTE con TOKEN_CAND._x000a_5. Validar que no existan cambios en los registros."/>
    <s v="Políticas/middlewares configurados_x000a_Existe documento PENDIENTE_x000a_Endpoints de revisión protegidos por rol."/>
    <s v="status=APROBADO;_x000a_document_id=&lt;ID&gt;_x000a_token de candidato"/>
    <s v="Se espera que retorne código 403 Forbidden en mutaciones para tokens sin permiso y sin cambios en el documento ni en auditoría."/>
    <x v="0"/>
    <x v="0"/>
    <m/>
    <d v="2025-10-26T00:00:00"/>
    <d v="2025-10-26T00:00:00"/>
    <n v="30"/>
    <s v="JOSE"/>
    <s v="NO"/>
    <s v="NO"/>
    <s v="MUST"/>
  </r>
  <r>
    <s v="CP_92"/>
    <s v="REVISION DE DOCUMENTOS"/>
    <s v="Ver validaciones de documentos por candidato"/>
    <s v="Funcional"/>
    <s v="Usuario con rol RRHH accede al listado de Candidatos registrados, busca un candidato y abre su vista de Validaciones. Desde allí visualiza la lista de documentos del candidato con su estado actual y puede abrir el preview/descarga de un documento PENDIENTE."/>
    <s v="1. Iniciar sesión como RRHH._x000a_2. Ir a &quot;Candidatos Registrados&quot;._x000a_3. Usar el buscador para localizar usuario por nombre._x000a_4. Clic en &quot;Validaciones&quot; del candidato buscado._x000a_5. En la vista verificar que se listan los documentos con su estado PENDIENTE o VALIDADO._x000a_6. Seleccionar un documento en estado pendiente y visualizar su preview._x000a_7. Confirmar que el visor responda y muestra el archivo correcto."/>
    <s v="Usuario con rol de RRHH_x000a_Candidato con documentos en estado Pendiente."/>
    <s v="Búsqueda de candidato por nombre"/>
    <s v="La vista de validaciones del candidato lista correctamente sus documentos con estado actual, al abrir un documento PENDIENTE se obtiene 200 OK y se visualiza una muestra del documento funcional."/>
    <x v="0"/>
    <x v="0"/>
    <m/>
    <d v="2025-10-25T00:00:00"/>
    <d v="2025-10-25T00:00:00"/>
    <n v="45"/>
    <s v="JOSE"/>
    <s v="Si"/>
    <s v="SI"/>
    <s v="MUST"/>
  </r>
  <r>
    <s v="CP_93"/>
    <s v="REVISION DE DOCUMENTOS"/>
    <s v="Aprobar documento de candidato"/>
    <s v="Funcional"/>
    <s v="Usuario con rol RRHH aprueba un documento PENDIENTE del candidato. Se valida preview, acción de Aprobar con observación opcional, respuesta de API, actualización inmediata de la UI, salida del documento de “Pendientes” y registro en Bitácora/Worklog."/>
    <s v="1. Iniciar sesión como RRHH._x000a_2. Ir a &quot;Candidatos Registrados&quot;._x000a_3. Usar el buscador para localizar usuario por nombre._x000a_4. Clic en &quot;Validaciones&quot; del candidato buscado_x000a_5. Seleccionar uno de los documentos._x000a_6. Revisar preview._x000a_7. Seleccionar “Aprobar”._x000a_8. Confirmar el documento cargado._x000a_9. Validar cambio en UI (estado=APROBADO) y registro en bitácora."/>
    <s v="Usuario con rol de RRHH_x000a_Candidato con documentos en estado Pendiente."/>
    <s v="Búsqueda de candidato por nombre"/>
    <s v="Responde con un çodigo 200 OK, la interfaz refleja APROBADO, el documento ya no aparece en &quot;PENDIENTES&quot;, en bitácora se registra la acción con usuario, la fecha y el nivel de criticidad; al recargar la vista, el estado persiste y el preview sigue disponible."/>
    <x v="0"/>
    <x v="0"/>
    <m/>
    <d v="2025-10-25T00:00:00"/>
    <d v="2025-10-25T00:00:00"/>
    <n v="40"/>
    <s v="JOSE"/>
    <s v="Si"/>
    <s v="SI"/>
    <s v="MUST"/>
  </r>
  <r>
    <s v="CP_94"/>
    <s v="REVISION DE DOCUMENTOS"/>
    <s v="Rechazar documento con observación obligatoria"/>
    <s v="Funcional"/>
    <s v="Usuario con rol RRHH rechaza un documento PENDIENTE indicando el motivo obligatorio. Se valida preview, envío de la acción con observación, respuesta de API, reflejo inmediato en la UI, visibilidad del comentario para el candidato y registro en Bitácora/Worklog."/>
    <s v="1. Iniciar sesión como RRHH._x000a_2. Ir a &quot;Candidatos Registrados&quot;._x000a_3. Usar el buscador para localizar usuario por nombre._x000a_4. Clic en &quot;Validaciones&quot; del candidato buscado_x000a_5. Seleccionar uno de los documentos._x000a_6. Revisar preview._x000a_7. Seleccionar “Rechazar”._x000a_8. Ingresar observación obligatoria._x000a_9. Confirmar el cambio de PENDIENTE a RECHAZADO junto con la observación._x000a_10. Envío de correo electrónico detallando el error identificado._x000a_11. Verificar la bitácora y vista del candidato."/>
    <s v="Usuario con rol de RRHH_x000a_Candidato con documentos en estado Pendiente."/>
    <s v="Búsqueda de candidato por nombre_x000a_Rechazar documento_x000a_Ingresar observación"/>
    <s v="Se retorna un çodigo 200 OK, la interfaz refleja RECHAZADO y retira el ítem de Pendientes; la observación queda persistida y visible para el candidato; Bitácora registra la acción con usuario y fecha, al recargar el estado y el comentario se mantienen, se realice envio de notificación al correo del usuario candidato revisado."/>
    <x v="0"/>
    <x v="0"/>
    <m/>
    <d v="2025-10-25T00:00:00"/>
    <d v="2025-10-25T00:00:00"/>
    <n v="40"/>
    <s v="JOSE"/>
    <s v="NO"/>
    <s v="NO"/>
    <s v="WONT"/>
  </r>
  <r>
    <s v="CP_95"/>
    <s v="REVISION DE DOCUMENTOS"/>
    <s v="Solicitar reenvío/corrección"/>
    <s v="Funcional"/>
    <s v="Usuario con rol RRHH marca un documento de pendiente a requiere_correccion con observación, el sistema envia correo al candidato.El candidato vuelve a subir el archivo corregido y el documento queda PENDIENTE para nueva revisión."/>
    <s v="1. Iniciar sesión como candidato._x000a_2. Abrir documento que se encuentra en estado de Pendiente._x000a_3. Indicar observación y cargar nuevo documento._x000a_4. Confirmar la carga de los documentos._x000a_5. Volver RRHH y verificar estado de Pendiente de la nueva versión."/>
    <s v="Usuario con rol de RRHH._x000a_Usuario con rol de candidato._x000a_Candidato con documentos en estado Pendiente."/>
    <s v="status=REQUIERE_CORRECCIÓN_x000a_observation='Falta sello'_x000a_nueva_versión=archivo.pdf"/>
    <s v="Transición de requiere_correccion con código 200 OK, se envía correo al candidato con el mensaje y observación. El candidato sube nueva versión, el documento queda PENDIENTE y el preview muestra el archivo corregido. En la vista de RRHH el documento aparece nuevamente en pendientes del candidato con el archivo actualizado. El archivo anterior queda reemplazado no se conserva historial."/>
    <x v="1"/>
    <x v="0"/>
    <m/>
    <d v="2025-10-25T00:00:00"/>
    <d v="2025-10-25T00:00:00"/>
    <n v="20"/>
    <s v="JOSE"/>
    <s v="NO"/>
    <s v="NO"/>
    <s v="WONT"/>
  </r>
  <r>
    <s v="CP_96"/>
    <s v="SEGURIDAD"/>
    <s v="Contador de intentos fallidos y lockout (intentos incorrectos de inicio de sesión)"/>
    <s v="Seguridad"/>
    <s v="Verificar que el sistema cuenta los intentos de login fallidos por usuario y que bloquea el acceso cuando se alcanza el umbral de 3 dentro de una ventana de tiempo."/>
    <s v="1. Ingreso de contraseña invalida no bloquea y el contador aumenta en 1._x000a_2. Ingreso segunda vez de contraseña inválida no bloquea y el contador aumenta en 2._x000a_3. Ingreso de segunda vez de contraseña inválida y bloque el contador llega a 3 veces con contraseña incorrecta._x000a_4. Se bloquea el usuario pasado los 3 intentos erroneos."/>
    <s v="Contabilizador de ingresos erroneos por correo electrónico."/>
    <s v="Usuario: edwin.vladimir@ues.edu.sv_x000a_Contraseña: contra12345"/>
    <s v="Antes del umbral no existe bloqueo._x000a_Al llegar a los tres intentos el usuario queda bloqueado._x000a_Un éxito antes del bloqueo del usuario resetea el conteo."/>
    <x v="0"/>
    <x v="2"/>
    <m/>
    <m/>
    <m/>
    <m/>
    <s v="RONALD"/>
    <s v="Sí"/>
    <s v="NO"/>
    <s v="WONT"/>
  </r>
  <r>
    <s v="CP_97"/>
    <s v="SEGURIDAD"/>
    <s v="Acceso no autorizado a datos de otro usuario"/>
    <s v="Seguridad"/>
    <s v="Comprobar que no se puede ver la información de otra persona solo por cambiar el id en la ruta. Si un usuario intenta leer el perfil de otro, el sistema debe negar el acceso."/>
    <s v="1. Iniciar sesión como rol de candidato A._x000a_2. Identificar el id de otro usuario candidato B._x000a_3. Ejecutar GET /persons/{idB} usando el token de candidato A._x000a_4. Debe negar el acceso,_x000a_5. Ejecutar GET /persons/me con el token de candidato A."/>
    <s v="Existencia de candidato A y B._x000a_Las rutas de usaurio estan protegidas con permisos/policies"/>
    <s v="Token de candidato A._x000a_id del candidato B._x000a_endpoint: /users/{idB}"/>
    <s v="Se espera que responde con código 403 Forbidden no se devuelve ningun dato del candidato B. No debe contener ningun dato del usuario ajeno y deben mostrarse los headers de seguridad (X-Content-Type-Options))"/>
    <x v="0"/>
    <x v="1"/>
    <m/>
    <d v="2025-10-25T00:00:00"/>
    <d v="2025-10-25T00:00:00"/>
    <n v="25"/>
    <s v="RONALD"/>
    <s v="Si"/>
    <s v="SI"/>
    <s v="MUST"/>
  </r>
  <r>
    <s v="CP_98"/>
    <s v="SEGURIDAD"/>
    <s v="Acceso no autorizado a editar recurso ajeno"/>
    <s v="Seguridad"/>
    <s v="Asegurar que un usuario no pueda editar a otra persona solo por cambiar el id en la URL. Si intenta hacerlo, el sistema debe negarlo y no guardar ningún cambio."/>
    <s v="1. Iniciar sesión como rol de candidato A._x000a_2. Identificar el id de otro usuario candidato B._x000a_3. Ejecutar PUT /persons/{idB} usando el token de candidato A._x000a_4. Debe negar la operación,_x000a_5. Ejecutar GET /persons/{idB} para revisar que no exista ningún cambio."/>
    <s v="RBAC activo_x000a_Existencia de usuario Candidato A y B"/>
    <s v="Token de candidato A._x000a_id del candidato B._x000a_endpoint: /users/{idB}"/>
    <s v="Se espera que responda con código 403 Forbidden al intentar editar candidato B.  No se modifica ningun dato del candidato B. Se muestra mensaje claro de usuario sin permisos."/>
    <x v="0"/>
    <x v="0"/>
    <m/>
    <d v="2025-10-25T00:00:00"/>
    <d v="2025-10-25T00:00:00"/>
    <n v="30"/>
    <s v="RONALD"/>
    <s v="Si"/>
    <s v="SI"/>
    <s v="MUST"/>
  </r>
  <r>
    <s v="CP_99"/>
    <s v="SEGURIDAD"/>
    <s v="XSS almacenado en campos de texto"/>
    <s v="Seguridad"/>
    <s v="Guardar un texto malicioso y comprobar que la app no se ejecuta ningún script, el contenido debe escaparse y verse como texto normal."/>
    <s v="1. Iniciar sesión como Director y dirigirse a una pantalla que guarde y muestre comentarios/notas._x000a_2. Ejecutar POST para crear o editar el comentario con el texto malicioso._x000a_3. Abrir la pantalla donde se renderiza el comentario._x000a_4. Verificar que se ve como texto y que no hay ventanas emergentes ni comportamientos inesperados._x000a_5. Revisar la consola del navegador, no deben aparecer alertas ni errores de ejecución relacionados."/>
    <s v="Existe un campo de texto persistente que luego se muestra en la UI_x000a_Usuario como Director._x000a_"/>
    <s v="comentario = &quot;&lt;img src=x onerror=alert(1)&gt;&quot;_x000a_&quot;&lt;script&gt;alert(1)&lt;/script&gt;&quot;_x000a_&quot;&lt;svg onload=alert(1)&gt;&quot;_x000a_&quot;&lt;a href=javascript:alert(1)&gt;click&lt;/a&gt;&quot;"/>
    <s v="No se ejecuta ninguna alerta ni se ejecuta código._x000a_El contenido se muestra escapado/sanitizado_x000a_La pantalla no se rompe y el resto funciona con normalidad._x000a_En todas las vistas donde aparece el texto el comportamiento es igual de seguro."/>
    <x v="0"/>
    <x v="0"/>
    <m/>
    <d v="2025-10-25T00:00:00"/>
    <d v="2025-10-25T00:00:00"/>
    <n v="30"/>
    <s v="RONALD"/>
    <s v="Si"/>
    <s v="SI"/>
    <s v="MUST"/>
  </r>
  <r>
    <s v="CP_101"/>
    <s v="SEGURIDAD"/>
    <s v="CORS restrictivo"/>
    <s v="Seguridad"/>
    <s v="Asegurar que solo los dominios permitidos puedan hacer peticiones a la API. Si el origen no está permitido, el navegador debe bloquear la petición"/>
    <s v="1. Preflight desde origen no permitido: enviar OPTIONS a un endpoint simulando navegador con:_x000a_ 1.1 Origin: https://otro_entorno.local_x000a_ 1.2 Access-Control-Request-Method: GET_x000a_ 1.3 Access-Control-Request-Headers: Authorization._x000a_2. Request real desde origen no permitido: enviar GET /users con:_x000a_ 2.1 Origin: https://otro_entorno.local_x000a_ 2.2 Authorization: Bearer._x000a_3. Preflight desde origen permitido: repetir el OPTIONS con:_x000a_  3.1 Origin: https://app.tu-dominio.com"/>
    <s v="CORS configurado con lista de orígenes permitidos_x000a_Endpoint disponible."/>
    <s v="Origen no permitido: https://otro_entorno.local"/>
    <s v="Origen no permitido:_x000a_Preflight responde sin Access-Control-Allow-Origin y el navegador bloquea._x000a_Request real no obtiene CORS válido ; jamás Access-Control-Allow-Origin: * junto a Authorization/credenciales."/>
    <x v="1"/>
    <x v="1"/>
    <m/>
    <d v="2025-10-25T00:00:00"/>
    <d v="2025-10-25T00:00:00"/>
    <n v="30"/>
    <s v="RONALD"/>
    <s v="Si"/>
    <s v="SI"/>
    <s v="MUST"/>
  </r>
  <r>
    <s v="CP_102"/>
    <s v="SEGURIDAD"/>
    <s v="Cabeceras de seguridad"/>
    <s v="Seguridad"/>
    <s v="Comprobar que el servidor envía cabeceras de seguridad en las páginas y APIs clave, para reducir riesgos como XSS, clickjacking y contenido mixto"/>
    <s v="1. Hacer GET a la página principal._x000a_2. Hacer GET a un endpoint API._x000a_3. Hacer GET a una ruta de descarga o recurso estático._x000a_4. Revisar las cabeceras de respuesta y anotar valores._x000a_5. Abrir la página en el navegador y verificar que no se cargan recursos en HTTP"/>
    <s v="El reverse proxy/servidor está configurado para añadir cabeceras._x000a_La app sirve HTML, API JSON y, si aplica, descargas/estáticos."/>
    <s v="N/A"/>
    <s v="Content-Security-Policy (CSP) presente y restrictiva._x000a_X-Frame-Options._x000a_X-Content-Type-Options_x000a_Referrer-Policy_x000a_Strict-Transport-Security (HSTS) en HTTPS_x000a_Sin contenido mixto: la página y sus recursos cargan solo por HTTPS; la consola del navegador no muestra alertas de “mixed content”._x000a_las mismas cabeceras aparecen en HTML, API y descargas; no hay valores vacíos ni peligrosos"/>
    <x v="1"/>
    <x v="1"/>
    <m/>
    <d v="2025-10-26T00:00:00"/>
    <d v="2025-10-26T00:00:00"/>
    <n v="30"/>
    <s v="RONALD"/>
    <s v="Si"/>
    <s v="SI"/>
    <s v="MUST"/>
  </r>
  <r>
    <s v="CP_103"/>
    <s v="SEGURIDAD"/>
    <s v="Verificación de transporte seguro de credenciales"/>
    <s v="Seguridad"/>
    <s v="Validar que el sistema envíe las credenciales de usuario (usuario y contraseña) únicamente bajo un canal cifrado seguro (HTTPS/TLS), evitando que se transmitan en texto plano."/>
    <s v="1. Acceder al sistema desde el cliente web en la pantalla de inicio de sesión._x000a_2. Capturar el tráfico de red._x000a_3. Ingresar usuario y contraseña válidos._x000a_4. Observar el protocolo de transmisión en la petición de login._x000a_5. Intentar acceder usando HTTP en lugar de HTTPS._x000a_6. Validar que el sistema redirige automáticamente a HTTPS o bloquea la conexión insegura."/>
    <s v="Herramienta de monitoreo de tráfico instalada._x000a_El servidor debe estar configurado con certificado SSL/TLS válido."/>
    <s v="usuario: sa1600@ues.edu.sv_x000a_password: contraseña"/>
    <s v="La petición de autenticación se realiza únicamente vía HTTPS (TLS 1.2 o superior)._x000a_Los parámetros sensibles (usuario, contraseña, token) no son visibles en texto plano._x000a_El intento de conexión por HTTP es bloqueado o redirigido automáticamente a HTTPS."/>
    <x v="2"/>
    <x v="0"/>
    <m/>
    <d v="2025-10-26T00:00:00"/>
    <d v="2025-10-26T00:00:00"/>
    <n v="30"/>
    <s v="RONALD"/>
    <s v="Si"/>
    <s v="SI"/>
    <s v="MUST"/>
  </r>
  <r>
    <s v="CP_104"/>
    <s v="SEGURIDAD"/>
    <s v="Intento de inicio de sesión con credenciales predeterminadas, débiles o en blanco"/>
    <s v="Seguridad"/>
    <s v="Intentar autenticarse usando credenciales comunes, predeterminadas o vacías y verificar que el sistema no acepte esas credenciales, que aplique políticas."/>
    <s v="1. Enviar POST a /api/login con body { &quot;username&quot;: &quot;admin&quot;, &quot;password&quot;: &quot;admin&quot; }._x000a_2. Observar código HTTP y respuesta JSON._x000a_3. Repetir para todos los pares del CSV._x000a_4. Registrar respuesta, encabezados relevantes y body."/>
    <s v="Politica de bloqueo y complejidad de contraseñas."/>
    <s v="archivo csv con datos de usuarios de pruebas."/>
    <s v="Rechazo de autenticación con credenciales predeterminadas/débiles/en blanco: código 401._x000a_No se debe permitir autenticación con contraseñas vacías._x000a_No exponer stack traces, errores técnicos ni información sobre la existencia de cuentas._x000a_"/>
    <x v="2"/>
    <x v="0"/>
    <m/>
    <d v="2025-10-26T00:00:00"/>
    <d v="2025-10-26T00:00:00"/>
    <n v="30"/>
    <s v="RONALD"/>
    <s v="Si"/>
    <s v="SI"/>
    <s v="MUST"/>
  </r>
  <r>
    <s v="CP_105"/>
    <s v="SEGURIDAD"/>
    <s v="Detección de enumeración de cuentas"/>
    <s v="Seguridad"/>
    <s v="Probar diferentes combinaciones y flujos para verificar si las respuestas del sistema permiten inferir si un nombre de usuario existe en el sistema. El objetivo es asegurarse de que no se filtre información sobre la existencia de cuentas."/>
    <s v="1. POST /api/login con {username: existente, password: password}_x000a_2. POST /api/login con {username: inexistente, password: malicioso}_x000a_3. GET/POST a endpoints públicos que puedan filtrar por usuario verificar autorización y exposición._x000a_4. Medir tiempos de respuesta para detectar diferencias de timing que permitan inferir existencia."/>
    <s v="Lista de usuarios de prueba"/>
    <s v="archivo csv con datos de usuarios de pruebas."/>
    <s v="Mensajes idénticos para “usuario inexistente” y “contraseña incorrecta”._x000a_Se obtiene código 401 generico para ambos casos._x000a_"/>
    <x v="2"/>
    <x v="2"/>
    <m/>
    <d v="2025-10-26T00:00:00"/>
    <d v="2025-10-26T00:00:00"/>
    <n v="40"/>
    <s v="RONALD"/>
    <s v="Sí"/>
    <s v="NO"/>
    <s v="WONT"/>
  </r>
  <r>
    <s v="CP_106"/>
    <s v="SEGURIDAD"/>
    <s v="Validar seguridad de “Recordarme” y persistencia de sesión"/>
    <s v="Seguridad"/>
    <s v="Verificar que la opción “Recordarme” (sesión persistente) mantenga al usuario autenticado sin comprometer cookies ni tokens. Se valida configuración de cookies/tokens"/>
    <s v="1. Ingresar a la pantalla de login._x000a_2. Completar usuario/contraseña y marcar “Recordarme”._x000a_3. Iniciar sesión y confirmar acceso a dashboard._x000a_4. Identificar cookies de sesión/persistencia_x000a_5. Cerrar el navegador, volver a abrir e ingresar al sitio._x000a_6. Realizar logout desde el sitio._x000a_7. Verificar que cookies/tokens persistentes se eliminen o invaliden_x000a_8. Intentar ingresar a un sitio seguro sin login."/>
    <s v="Usuario de prueva válido."/>
    <s v="usuario: sa1600@ues.edu.sv_x000a_password: contraseña"/>
    <s v="Cookie(s) esperadas: sessionid (persistente si “Recordarme”), eventual cookie de “remember”. Secure=true, HttpOnly=true, SameSite=Lax|Strict. Rotación de sessionid post-login. Expiración acorde a política._x000a_Invalidación completa en logout_x000a_"/>
    <x v="0"/>
    <x v="2"/>
    <m/>
    <m/>
    <m/>
    <m/>
    <s v="RONALD"/>
    <s v="NO"/>
    <s v="NO"/>
    <s v="WONT"/>
  </r>
  <r>
    <s v="CP_107"/>
    <s v="USABILIDAD"/>
    <s v="Compatibilidad: de navegadores"/>
    <s v="Compatibilidad"/>
    <s v="Validar que la UI funcione y se renderice correctamente en los navegadores soportados (Chrome, Firefox y Edge) sin errores visuales ni funcionales en los flujos críticos de contratación Se evalúan: renderizado CSS, comportamiento de formularios y máscaras (DUI/NIT), date/time pickers, subida de archivos, tablas (filtro/orden/paginación), modales/toasts, navegación (adelante/atrás), descargas, sesión/cookies/localStorage, responsive (ancho 360/768/1024/1280), y ausencia de errores en la consola."/>
    <s v="1. Creación de matriz de navegadores a utilizar._x000a_2. Smoke de autenticación y navegación._x000a_3. Formularios y validaciones._x000a_4. Subida de archivos (adjuntos)._x000a_5. Tablas y listados._x000a_6. Transiciones de estado._x000a_7. Contratos._x000a_8. Responsive / zoom / fuentes._x000a_9. Sesión, almacenamiento y caché_x000a_10. Consola y redes._x000a_11. Accesibilidad básica (sanidad)."/>
    <s v="Ambiente con datos de prueba._x000a_Obtener cuenta por rol._x000a_Plantillas disponibles para contratos y servicio de descargas activo."/>
    <s v="Flujos y endpoints ejercitados por la UI"/>
    <s v="UI operativa y consistente en Chrome/Firefox/Edge, sin errores visuales (desbordes, solapamientos, fuentes rotas) ni funcionales._x000a_Formularios se comportan igual (máscaras/validaciones, pickers)._x000a_Adjuntos, filtros, paginación y modales funcionan sin diferencias._x000a_Descargas de PDF correctas en todos los navegadores._x000a_Sin errores en consola y sin fallos de red (404/5xx/CORS)._x000a_Comportamiento responsive correcto en los anchos definidos._x000a_"/>
    <x v="1"/>
    <x v="1"/>
    <m/>
    <d v="2025-10-26T00:00:00"/>
    <d v="2025-10-26T00:00:00"/>
    <n v="30"/>
    <s v="JOSE"/>
    <s v="NO"/>
    <s v="NO"/>
    <s v="WONT"/>
  </r>
  <r>
    <s v="CP_108"/>
    <s v="USABILIDAD"/>
    <s v="Accesibilidad básica"/>
    <s v="Usabilidad"/>
    <s v="Comprobar que la interfaz cumpla criterios mínimos de accesibilidad en los flujos críticos de contratación. Se valida navegación con teclado, etiquetado correcto de formularios y controles (name/role/value), mensajes de error accesibles, contraste suficiente, orden de foco lógico, modales accesibles, tablas con cabeceras, toasts/alertas anunciadas, zoom 200% y reflow a 320 px sin pérdida de contenido."/>
    <s v="1. Configuración de herramientas._x000a_2. Estructura y navegación global._x000a_3. Formularios (crear/editar solicitud y detalles SPNP/TI/TA)._x000a_4. Modales y toasts._x000a_5. Tablas y listados._x000a_6. Adjuntos y descargas._x000a_7. Contraste / color / iconografía._x000a_8. Reflow / zoom / preferencias del usuario._x000a_9. Lectura con lector de pantalla._x000a_10. Regresión rápida en pantallas clave."/>
    <s v="Ambiente con datos de prueba._x000a_Obtener cuenta por rol._x000a_Plantillas disponibles para contratos y servicio de descargas activo."/>
    <s v="Flujos y endpoints ejercitados por la UI"/>
    <s v="La UI es operable con teclado; el foco siempre visible y en orden lógico. zoom 200% debe de funcionar sin problemas_x000a_Formularios correctamente etiquetados, errores accesibles y controles complejos operables con teclado._x000a_Modales accesibles._x000a_Toasts/alertas se anuncian._x000a_Tablas con cabeceras y controles accesibles._x000a_Lector de pantalla entiende propósito de controles y orden de contenido.._x000a_"/>
    <x v="3"/>
    <x v="1"/>
    <m/>
    <d v="2025-10-26T00:00:00"/>
    <d v="2025-10-26T00:00:00"/>
    <n v="30"/>
    <s v="JOSE"/>
    <s v="NO"/>
    <s v="NO"/>
    <s v="SHOUL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EB28D-4AFF-4230-96D9-D886D6092BD3}"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25" firstHeaderRow="1" firstDataRow="2"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5">
    <i>
      <x/>
    </i>
    <i>
      <x v="1"/>
    </i>
    <i>
      <x v="2"/>
    </i>
    <i>
      <x v="3"/>
    </i>
    <i t="grand">
      <x/>
    </i>
  </colItems>
  <dataFields count="1">
    <dataField name="Recuento de ID_CASO" fld="2" subtotal="count"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uebas Definitivas.xlsx!Tabla1">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2AF921-394C-4763-9CFC-EB8BC7635D5D}"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8" firstHeaderRow="1" firstDataRow="2" firstDataCol="1"/>
  <pivotFields count="19">
    <pivotField showAll="0"/>
    <pivotField showAll="0"/>
    <pivotField showAll="0"/>
    <pivotField showAll="0"/>
    <pivotField showAll="0"/>
    <pivotField showAll="0"/>
    <pivotField showAll="0"/>
    <pivotField showAll="0"/>
    <pivotField showAll="0"/>
    <pivotField axis="axisRow" dataField="1" showAll="0">
      <items count="5">
        <item x="0"/>
        <item x="3"/>
        <item x="2"/>
        <item x="1"/>
        <item t="default"/>
      </items>
    </pivotField>
    <pivotField axis="axisCol" showAll="0">
      <items count="5">
        <item h="1" x="2"/>
        <item x="3"/>
        <item x="0"/>
        <item h="1" x="1"/>
        <item t="default"/>
      </items>
    </pivotField>
    <pivotField showAll="0"/>
    <pivotField showAll="0"/>
    <pivotField showAll="0"/>
    <pivotField showAll="0"/>
    <pivotField showAll="0"/>
    <pivotField showAll="0"/>
    <pivotField showAll="0"/>
    <pivotField showAll="0"/>
  </pivotFields>
  <rowFields count="1">
    <field x="9"/>
  </rowFields>
  <rowItems count="4">
    <i>
      <x/>
    </i>
    <i>
      <x v="2"/>
    </i>
    <i>
      <x v="3"/>
    </i>
    <i t="grand">
      <x/>
    </i>
  </rowItems>
  <colFields count="1">
    <field x="10"/>
  </colFields>
  <colItems count="3">
    <i>
      <x v="1"/>
    </i>
    <i>
      <x v="2"/>
    </i>
    <i t="grand">
      <x/>
    </i>
  </colItems>
  <dataFields count="1">
    <dataField name="Cuenta de Nivel de Priorida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1" xr16:uid="{96C33D20-B104-4150-A503-85ACDFE0A340}" autoFormatId="16" applyNumberFormats="0" applyBorderFormats="0" applyFontFormats="0" applyPatternFormats="0" applyAlignmentFormats="0" applyWidthHeightFormats="0">
  <queryTableRefresh nextId="20">
    <queryTableFields count="19">
      <queryTableField id="1" name="Tabla1[ID_CASO]" tableColumnId="1"/>
      <queryTableField id="2" name="Tabla1[MODULO]" tableColumnId="2"/>
      <queryTableField id="3" name="Tabla1[Nombre del Caso de Prueba]" tableColumnId="3"/>
      <queryTableField id="4" name="Tabla1[Tipo de Prueba]" tableColumnId="4"/>
      <queryTableField id="5" name="Tabla1[Descripción]" tableColumnId="5"/>
      <queryTableField id="6" name="Tabla1[Pasos]" tableColumnId="6"/>
      <queryTableField id="7" name="Tabla1[Precondiciones]" tableColumnId="7"/>
      <queryTableField id="8" name="Tabla1[Datos de entrada]" tableColumnId="8"/>
      <queryTableField id="9" name="Tabla1[Resultado Esperado]" tableColumnId="9"/>
      <queryTableField id="10" name="Tabla1[Nivel de Prioridad]" tableColumnId="10"/>
      <queryTableField id="11" name="Tabla1[Estado]" tableColumnId="11"/>
      <queryTableField id="12" name="Tabla1[Evidencias]" tableColumnId="12"/>
      <queryTableField id="13" name="Tabla1[Fecha Inicio Prueba]" tableColumnId="13"/>
      <queryTableField id="14" name="Tabla1[Fecha Finalización Prueba]" tableColumnId="14"/>
      <queryTableField id="15" name="Tabla1[Duración de Prueba (minutos)]" tableColumnId="15"/>
      <queryTableField id="16" name="Tabla1[Tester]" tableColumnId="16"/>
      <queryTableField id="17" name="Tabla1[Automatizable]" tableColumnId="17"/>
      <queryTableField id="18" name="Tabla1[Automatizacion Terminada]" tableColumnId="18"/>
      <queryTableField id="19" name="Tabla1[Puntuacion MosCoW]" tableColumnId="1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2" xr16:uid="{D50AE557-9E3D-4315-A5D0-D9FEA8EDBE0A}" autoFormatId="16" applyNumberFormats="0" applyBorderFormats="0" applyFontFormats="0" applyPatternFormats="0" applyAlignmentFormats="0" applyWidthHeightFormats="0">
  <queryTableRefresh nextId="20">
    <queryTableFields count="19">
      <queryTableField id="1" name="Tabla1[ID_CASO]" tableColumnId="1"/>
      <queryTableField id="2" name="Tabla1[MODULO]" tableColumnId="2"/>
      <queryTableField id="3" name="Tabla1[Nombre del Caso de Prueba]" tableColumnId="3"/>
      <queryTableField id="4" name="Tabla1[Tipo de Prueba]" tableColumnId="4"/>
      <queryTableField id="5" name="Tabla1[Descripción]" tableColumnId="5"/>
      <queryTableField id="6" name="Tabla1[Pasos]" tableColumnId="6"/>
      <queryTableField id="7" name="Tabla1[Precondiciones]" tableColumnId="7"/>
      <queryTableField id="8" name="Tabla1[Datos de entrada]" tableColumnId="8"/>
      <queryTableField id="9" name="Tabla1[Resultado Esperado]" tableColumnId="9"/>
      <queryTableField id="10" name="Tabla1[Nivel de Prioridad]" tableColumnId="10"/>
      <queryTableField id="11" name="Tabla1[Estado]" tableColumnId="11"/>
      <queryTableField id="12" name="Tabla1[Evidencias]" tableColumnId="12"/>
      <queryTableField id="13" name="Tabla1[Fecha Inicio Prueba]" tableColumnId="13"/>
      <queryTableField id="14" name="Tabla1[Fecha Finalización Prueba]" tableColumnId="14"/>
      <queryTableField id="15" name="Tabla1[Duración de Prueba (minutos)]" tableColumnId="15"/>
      <queryTableField id="16" name="Tabla1[Tester]" tableColumnId="16"/>
      <queryTableField id="17" name="Tabla1[Automatizable]" tableColumnId="17"/>
      <queryTableField id="18" name="Tabla1[Automatizacion Terminada]" tableColumnId="18"/>
      <queryTableField id="19" name="Tabla1[Puntuacion MosCoW]" tableColumnId="19"/>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3" xr16:uid="{2FECA812-0EB0-432B-8570-B2F1403395EA}" autoFormatId="16" applyNumberFormats="0" applyBorderFormats="0" applyFontFormats="0" applyPatternFormats="0" applyAlignmentFormats="0" applyWidthHeightFormats="0">
  <queryTableRefresh nextId="20">
    <queryTableFields count="19">
      <queryTableField id="1" name="Tabla1[ID_CASO]" tableColumnId="1"/>
      <queryTableField id="2" name="Tabla1[MODULO]" tableColumnId="2"/>
      <queryTableField id="3" name="Tabla1[Nombre del Caso de Prueba]" tableColumnId="3"/>
      <queryTableField id="4" name="Tabla1[Tipo de Prueba]" tableColumnId="4"/>
      <queryTableField id="5" name="Tabla1[Descripción]" tableColumnId="5"/>
      <queryTableField id="6" name="Tabla1[Pasos]" tableColumnId="6"/>
      <queryTableField id="7" name="Tabla1[Precondiciones]" tableColumnId="7"/>
      <queryTableField id="8" name="Tabla1[Datos de entrada]" tableColumnId="8"/>
      <queryTableField id="9" name="Tabla1[Resultado Esperado]" tableColumnId="9"/>
      <queryTableField id="10" name="Tabla1[Nivel de Prioridad]" tableColumnId="10"/>
      <queryTableField id="11" name="Tabla1[Estado]" tableColumnId="11"/>
      <queryTableField id="12" name="Tabla1[Evidencias]" tableColumnId="12"/>
      <queryTableField id="13" name="Tabla1[Fecha Inicio Prueba]" tableColumnId="13"/>
      <queryTableField id="14" name="Tabla1[Fecha Finalización Prueba]" tableColumnId="14"/>
      <queryTableField id="15" name="Tabla1[Duración de Prueba (minutos)]" tableColumnId="15"/>
      <queryTableField id="16" name="Tabla1[Tester]" tableColumnId="16"/>
      <queryTableField id="17" name="Tabla1[Automatizable]" tableColumnId="17"/>
      <queryTableField id="18" name="Tabla1[Automatizacion Terminada]" tableColumnId="18"/>
      <queryTableField id="19" name="Tabla1[Puntuacion MosCoW]" tableColumnId="19"/>
    </queryTableFields>
  </queryTableRefresh>
  <extLst>
    <ext xmlns:x15="http://schemas.microsoft.com/office/spreadsheetml/2010/11/main" uri="{883FBD77-0823-4a55-B5E3-86C4891E6966}">
      <x15:queryTable drillThrough="1"/>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5C994F-FD14-4C1D-9954-7D660E607803}" name="Tabla_DatosExternos_1" displayName="Tabla_DatosExternos_1" ref="A3:S21" tableType="queryTable" totalsRowShown="0">
  <autoFilter ref="A3:S21" xr:uid="{A75C994F-FD14-4C1D-9954-7D660E607803}"/>
  <tableColumns count="19">
    <tableColumn id="1" xr3:uid="{4938B286-6B1B-46D1-8376-967818BA9F03}" uniqueName="1" name="Tabla1[ID_CASO]" queryTableFieldId="1"/>
    <tableColumn id="2" xr3:uid="{A951912E-3AEF-4C23-BBF7-8B6F67F08C1C}" uniqueName="2" name="Tabla1[MODULO]" queryTableFieldId="2"/>
    <tableColumn id="3" xr3:uid="{BB09967B-B099-4676-B2EC-40E53F6DFEBA}" uniqueName="3" name="Tabla1[Nombre del Caso de Prueba]" queryTableFieldId="3"/>
    <tableColumn id="4" xr3:uid="{5803E53B-D7DA-4C59-A687-679AF6DFB356}" uniqueName="4" name="Tabla1[Tipo de Prueba]" queryTableFieldId="4"/>
    <tableColumn id="5" xr3:uid="{B4521D55-8EA0-45CB-A0EC-2062B08AA2CA}" uniqueName="5" name="Tabla1[Descripción]" queryTableFieldId="5"/>
    <tableColumn id="6" xr3:uid="{365F9F8C-A73B-4C6E-80DB-50CD26721B97}" uniqueName="6" name="Tabla1[Pasos]" queryTableFieldId="6"/>
    <tableColumn id="7" xr3:uid="{DF5C610B-041C-4091-B24D-D5182E57442E}" uniqueName="7" name="Tabla1[Precondiciones]" queryTableFieldId="7"/>
    <tableColumn id="8" xr3:uid="{C40B5117-315D-48AB-9546-F6948F7CDCE6}" uniqueName="8" name="Tabla1[Datos de entrada]" queryTableFieldId="8"/>
    <tableColumn id="9" xr3:uid="{C025F731-B8D1-4EDE-9E7F-F4D130D4A7B3}" uniqueName="9" name="Tabla1[Resultado Esperado]" queryTableFieldId="9"/>
    <tableColumn id="10" xr3:uid="{169396A7-2A86-4525-B722-715F38130807}" uniqueName="10" name="Tabla1[Nivel de Prioridad]" queryTableFieldId="10"/>
    <tableColumn id="11" xr3:uid="{C27DCF00-9F9A-4011-BEE5-658294CD6682}" uniqueName="11" name="Tabla1[Estado]" queryTableFieldId="11"/>
    <tableColumn id="12" xr3:uid="{7EE0C46C-A846-4C5D-BAAD-481114069333}" uniqueName="12" name="Tabla1[Evidencias]" queryTableFieldId="12"/>
    <tableColumn id="13" xr3:uid="{E48C6580-ADD6-4E20-ABBC-74835FE7D9C0}" uniqueName="13" name="Tabla1[Fecha Inicio Prueba]" queryTableFieldId="13" dataDxfId="56"/>
    <tableColumn id="14" xr3:uid="{BCB4B302-9903-4AF4-890B-8188119A7E78}" uniqueName="14" name="Tabla1[Fecha Finalización Prueba]" queryTableFieldId="14" dataDxfId="55"/>
    <tableColumn id="15" xr3:uid="{47F598D2-FD75-47A7-B6E2-BE0FFB3B0C1B}" uniqueName="15" name="Tabla1[Duración de Prueba (minutos)]" queryTableFieldId="15"/>
    <tableColumn id="16" xr3:uid="{70D231DF-B0B3-41C3-838E-0BC49074BCEF}" uniqueName="16" name="Tabla1[Tester]" queryTableFieldId="16"/>
    <tableColumn id="17" xr3:uid="{F00FAD02-6EC9-4AA6-888F-1818176FF3C9}" uniqueName="17" name="Tabla1[Automatizable]" queryTableFieldId="17"/>
    <tableColumn id="18" xr3:uid="{8001FA3C-C4D2-4EA7-83DD-1C6DDD959B55}" uniqueName="18" name="Tabla1[Automatizacion Terminada]" queryTableFieldId="18"/>
    <tableColumn id="19" xr3:uid="{8110A0EA-ACC0-453C-948B-D7B456B43231}" uniqueName="19" name="Tabla1[Puntuacion MosCoW]" queryTableField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AE2A7-9859-4C7B-9F76-AD561A708877}" name="Tabla_DatosExternos_14" displayName="Tabla_DatosExternos_14" ref="A3:S21" tableType="queryTable" totalsRowShown="0">
  <autoFilter ref="A3:S21" xr:uid="{34FAE2A7-9859-4C7B-9F76-AD561A708877}"/>
  <tableColumns count="19">
    <tableColumn id="1" xr3:uid="{D0D16C5B-EBDF-4C64-8F4C-CDDE5265EEB2}" uniqueName="1" name="Tabla1[ID_CASO]" queryTableFieldId="1"/>
    <tableColumn id="2" xr3:uid="{79903588-BA70-4E3A-87D1-2963EFE3E6E7}" uniqueName="2" name="Tabla1[MODULO]" queryTableFieldId="2"/>
    <tableColumn id="3" xr3:uid="{B349AC9E-1A5E-4B74-9DF0-769131996C8E}" uniqueName="3" name="Tabla1[Nombre del Caso de Prueba]" queryTableFieldId="3"/>
    <tableColumn id="4" xr3:uid="{03596F90-0A3B-497C-A962-DF36F14C706B}" uniqueName="4" name="Tabla1[Tipo de Prueba]" queryTableFieldId="4"/>
    <tableColumn id="5" xr3:uid="{48236541-15B7-4332-96FD-96DE9A669544}" uniqueName="5" name="Tabla1[Descripción]" queryTableFieldId="5"/>
    <tableColumn id="6" xr3:uid="{62E5D110-D3EE-49C1-A339-327CB8FEF9FA}" uniqueName="6" name="Tabla1[Pasos]" queryTableFieldId="6"/>
    <tableColumn id="7" xr3:uid="{0D0F1C58-AE75-4BFA-8448-E28DB6FF9BD9}" uniqueName="7" name="Tabla1[Precondiciones]" queryTableFieldId="7"/>
    <tableColumn id="8" xr3:uid="{EB67D671-E4FB-4B6E-8CE2-6CD1C1DCA69D}" uniqueName="8" name="Tabla1[Datos de entrada]" queryTableFieldId="8"/>
    <tableColumn id="9" xr3:uid="{E827E4FD-CB5A-410E-B1CB-E5548CC0351C}" uniqueName="9" name="Tabla1[Resultado Esperado]" queryTableFieldId="9"/>
    <tableColumn id="10" xr3:uid="{C0FCAC9C-FAF5-412A-BE4B-2FF24407A458}" uniqueName="10" name="Tabla1[Nivel de Prioridad]" queryTableFieldId="10"/>
    <tableColumn id="11" xr3:uid="{2565B705-0BFC-47A8-9702-EF3E78C3A264}" uniqueName="11" name="Tabla1[Estado]" queryTableFieldId="11"/>
    <tableColumn id="12" xr3:uid="{32594231-3B9F-418E-8FAC-055A35F293D8}" uniqueName="12" name="Tabla1[Evidencias]" queryTableFieldId="12"/>
    <tableColumn id="13" xr3:uid="{CCA04EEA-B82A-49AC-B2F8-17C927ACC855}" uniqueName="13" name="Tabla1[Fecha Inicio Prueba]" queryTableFieldId="13" dataDxfId="54"/>
    <tableColumn id="14" xr3:uid="{24352C3F-1A84-408C-BC76-0DF04ED4694E}" uniqueName="14" name="Tabla1[Fecha Finalización Prueba]" queryTableFieldId="14" dataDxfId="53"/>
    <tableColumn id="15" xr3:uid="{C9700A2D-53E8-44D4-B66F-4D4B3F3D6047}" uniqueName="15" name="Tabla1[Duración de Prueba (minutos)]" queryTableFieldId="15"/>
    <tableColumn id="16" xr3:uid="{63214A53-FB4C-44B8-B2A4-52ED549BB75C}" uniqueName="16" name="Tabla1[Tester]" queryTableFieldId="16"/>
    <tableColumn id="17" xr3:uid="{5DDA19C4-1FB7-4963-B524-A8C3C5A66D60}" uniqueName="17" name="Tabla1[Automatizable]" queryTableFieldId="17"/>
    <tableColumn id="18" xr3:uid="{D7B0D280-0D0A-4D22-9250-D6023238A3A5}" uniqueName="18" name="Tabla1[Automatizacion Terminada]" queryTableFieldId="18"/>
    <tableColumn id="19" xr3:uid="{CCB0B6CD-837D-499A-8F3B-E70B315FD588}" uniqueName="19" name="Tabla1[Puntuacion MosCoW]" queryTableField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E5A1BC-341D-45B1-B1E8-25CEDC998F09}" name="Tabla5" displayName="Tabla5" ref="B3:G22" totalsRowShown="0" headerRowDxfId="52" dataDxfId="50" headerRowBorderDxfId="51" tableBorderDxfId="49" totalsRowBorderDxfId="48">
  <autoFilter ref="B3:G22" xr:uid="{CCE5A1BC-341D-45B1-B1E8-25CEDC998F09}"/>
  <tableColumns count="6">
    <tableColumn id="1" xr3:uid="{DD42C6F0-CDE5-431C-A0C4-6F2DF25C341D}" name="ID_CASO" dataDxfId="47"/>
    <tableColumn id="2" xr3:uid="{CEA3EBB1-0A25-4C13-B898-4EBD4DDDD429}" name="MÓDULO" dataDxfId="46"/>
    <tableColumn id="3" xr3:uid="{F46ABA8D-3D2E-4C0C-8AB8-B646EAC7D0B1}" name="NOMBRE DE CASO DE PRUEBA" dataDxfId="45"/>
    <tableColumn id="4" xr3:uid="{B1A3619E-463D-49DF-9DE8-CFB2C4959C01}" name="TITULO INCIDENTE" dataDxfId="44"/>
    <tableColumn id="5" xr3:uid="{A8380FFF-EC01-4707-B341-2E21A18777CC}" name="ESTADO" dataDxfId="43"/>
    <tableColumn id="6" xr3:uid="{F0F7434D-0466-45FF-97AA-11FA2A065395}" name="SEVERIDAD" dataDxfId="4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AFD0CA-5DB8-4D1B-B366-05A7C5C16EC6}" name="Tabla_DatosExternos_17" displayName="Tabla_DatosExternos_17" ref="A3:S7" tableType="queryTable" totalsRowShown="0">
  <autoFilter ref="A3:S7" xr:uid="{3AAFD0CA-5DB8-4D1B-B366-05A7C5C16EC6}"/>
  <tableColumns count="19">
    <tableColumn id="1" xr3:uid="{1A31EC87-5164-4750-8A6B-E19AE926B749}" uniqueName="1" name="Tabla1[ID_CASO]" queryTableFieldId="1"/>
    <tableColumn id="2" xr3:uid="{BC64A8BD-D9F2-4691-871A-F3978597836E}" uniqueName="2" name="Tabla1[MODULO]" queryTableFieldId="2"/>
    <tableColumn id="3" xr3:uid="{66D5F2B6-0662-453A-B17E-406D7A3DFCDC}" uniqueName="3" name="Tabla1[Nombre del Caso de Prueba]" queryTableFieldId="3"/>
    <tableColumn id="4" xr3:uid="{5B5A2F61-8D45-4D2F-BE88-31137CBFA228}" uniqueName="4" name="Tabla1[Tipo de Prueba]" queryTableFieldId="4"/>
    <tableColumn id="5" xr3:uid="{27515CD0-4218-4599-AF04-D99CDD732266}" uniqueName="5" name="Tabla1[Descripción]" queryTableFieldId="5"/>
    <tableColumn id="6" xr3:uid="{9E3738E5-4EBD-4430-8850-A69B6039F4ED}" uniqueName="6" name="Tabla1[Pasos]" queryTableFieldId="6"/>
    <tableColumn id="7" xr3:uid="{B49DC2E3-D666-475B-B438-C102489E50FD}" uniqueName="7" name="Tabla1[Precondiciones]" queryTableFieldId="7"/>
    <tableColumn id="8" xr3:uid="{C372DAC6-B945-4535-A2F6-716AF38E7B8D}" uniqueName="8" name="Tabla1[Datos de entrada]" queryTableFieldId="8"/>
    <tableColumn id="9" xr3:uid="{8EE2CEAC-98FD-4242-80E5-137D2C3ACE54}" uniqueName="9" name="Tabla1[Resultado Esperado]" queryTableFieldId="9"/>
    <tableColumn id="10" xr3:uid="{0E9353DA-83A5-483D-B9C5-ED043B5E63D0}" uniqueName="10" name="Tabla1[Nivel de Prioridad]" queryTableFieldId="10"/>
    <tableColumn id="11" xr3:uid="{848E36AC-FE9C-4DE4-9D5B-B8E59142928E}" uniqueName="11" name="Tabla1[Estado]" queryTableFieldId="11"/>
    <tableColumn id="12" xr3:uid="{C5AD6913-EE15-45C7-9916-0AB63E877ECA}" uniqueName="12" name="Tabla1[Evidencias]" queryTableFieldId="12"/>
    <tableColumn id="13" xr3:uid="{A2A7B446-B7CB-44E6-AFC4-F6B44C6DB016}" uniqueName="13" name="Tabla1[Fecha Inicio Prueba]" queryTableFieldId="13" dataDxfId="41"/>
    <tableColumn id="14" xr3:uid="{004BA2FC-0483-4BCF-BFA6-2655DA21EECD}" uniqueName="14" name="Tabla1[Fecha Finalización Prueba]" queryTableFieldId="14" dataDxfId="40"/>
    <tableColumn id="15" xr3:uid="{DEEDF69F-FCDE-42CA-B9B9-1C0D313B129F}" uniqueName="15" name="Tabla1[Duración de Prueba (minutos)]" queryTableFieldId="15"/>
    <tableColumn id="16" xr3:uid="{FE06F9DA-1926-4286-9416-5B2B5C90C582}" uniqueName="16" name="Tabla1[Tester]" queryTableFieldId="16"/>
    <tableColumn id="17" xr3:uid="{B27C546B-0640-4AB0-B423-4BD629EBEDBA}" uniqueName="17" name="Tabla1[Automatizable]" queryTableFieldId="17"/>
    <tableColumn id="18" xr3:uid="{DD601F19-20F7-430A-89B7-95D50586AAFF}" uniqueName="18" name="Tabla1[Automatizacion Terminada]" queryTableFieldId="18"/>
    <tableColumn id="19" xr3:uid="{7B4BCFA4-C62B-4005-A222-645C2056924B}" uniqueName="19" name="Tabla1[Puntuacion MosCoW]" queryTableField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648D9-5BCF-4F55-995D-3AA177AA4EEA}" name="Tabla1" displayName="Tabla1" ref="A1:S107" totalsRowShown="0" headerRowDxfId="39" dataDxfId="38" tableBorderDxfId="37">
  <autoFilter ref="A1:S107" xr:uid="{CBD2E7EF-FB27-4732-8EC0-11DDA8FAE6CA}"/>
  <tableColumns count="19">
    <tableColumn id="1" xr3:uid="{AB2391C8-1BDA-4297-A298-165EFCFF9953}" name="ID_CASO" dataDxfId="36"/>
    <tableColumn id="2" xr3:uid="{E0B5EC2B-38D9-494A-B6DB-3978A42CA8F1}" name="MODULO" dataDxfId="35"/>
    <tableColumn id="4" xr3:uid="{39B8C029-970A-452E-9BFC-7F5A706DCA9D}" name="Nombre del Caso de Prueba" dataDxfId="34"/>
    <tableColumn id="6" xr3:uid="{CDC825AB-E66C-4C43-B4BD-6C36DD9CA806}" name="Tipo de Prueba" dataDxfId="33"/>
    <tableColumn id="7" xr3:uid="{1CEC6912-EB7D-45B7-B4F4-5F30B8EC6478}" name="Descripción" dataDxfId="32"/>
    <tableColumn id="8" xr3:uid="{7D0090AA-8E13-4008-84A7-81D5566CEDEE}" name="Pasos" dataDxfId="31"/>
    <tableColumn id="9" xr3:uid="{5DCC34FC-0FA1-4720-9259-A969895217B5}" name="Precondiciones" dataDxfId="30"/>
    <tableColumn id="10" xr3:uid="{7B95DA25-B97A-4C76-AAE7-E75B3ED6CBE4}" name="Datos de entrada" dataDxfId="29"/>
    <tableColumn id="11" xr3:uid="{EB99F660-6877-49D7-A672-B35710CB1E59}" name="Resultado Esperado" dataDxfId="28"/>
    <tableColumn id="12" xr3:uid="{6CAFCF10-1860-46F6-B43F-07C15CFC6327}" name="Nivel de Prioridad" dataDxfId="27"/>
    <tableColumn id="13" xr3:uid="{0B3B6EFA-26D5-4781-8E11-25EAC0580E7D}" name="Estado" dataDxfId="26"/>
    <tableColumn id="14" xr3:uid="{842F4CB3-A544-4226-9DAF-530569095227}" name="Evidencias" dataDxfId="25"/>
    <tableColumn id="16" xr3:uid="{68049A20-8AA2-4E64-B424-C2F011344DC5}" name="Fecha Inicio Prueba" dataDxfId="24"/>
    <tableColumn id="17" xr3:uid="{72006895-852E-4DED-A7D0-1718DBEF0149}" name="Fecha Finalización Prueba" dataDxfId="23"/>
    <tableColumn id="15" xr3:uid="{C054C177-1D7B-4C67-9568-28C3BE37EC2C}" name="Duración de Prueba (minutos)" dataDxfId="22"/>
    <tableColumn id="3" xr3:uid="{F8862B86-D403-417E-B63C-339025D97720}" name="Tester" dataDxfId="21"/>
    <tableColumn id="18" xr3:uid="{84F4FC4C-95CF-4D7C-8F03-F5D193F74D38}" name="Automatizable" dataDxfId="20"/>
    <tableColumn id="5" xr3:uid="{6B6A619E-23BB-45FD-A7BD-56E268A0A784}" name="Automatizacion Terminada" dataDxfId="19"/>
    <tableColumn id="19" xr3:uid="{8BECA558-6587-4E83-A7BD-31FDE50BBFBE}" name="Puntuacion MoSCoW"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FFBF33-0205-4DBA-B803-C5E66276A7CD}" name="Tabla55" displayName="Tabla55" ref="A14:J119" totalsRowShown="0" headerRowDxfId="17" dataDxfId="16">
  <autoFilter ref="A14:J119" xr:uid="{A856B2A6-94BA-42E2-BD81-0C0DB5F9080B}"/>
  <tableColumns count="10">
    <tableColumn id="1" xr3:uid="{37D09B0D-3BCA-4602-8EBE-D11A719E1682}" name="ID_CASO" dataDxfId="15"/>
    <tableColumn id="2" xr3:uid="{4AEFF8F9-3496-4EDB-B260-4E19A9AD83D8}" name="MODULO" dataDxfId="14"/>
    <tableColumn id="3" xr3:uid="{0AB3FD2E-2A59-427D-B0FF-3538B42DC6CB}" name="Nombre del Caso de Prueba" dataDxfId="13"/>
    <tableColumn id="4" xr3:uid="{7DEF110A-CDE0-498E-ABC0-C896B4A57BE2}" name="Frecuencia de ejecución" dataDxfId="12"/>
    <tableColumn id="5" xr3:uid="{7447B532-36B5-4E2D-BD66-CDB703CE0BC0}" name="Criticidad del proceso" dataDxfId="11"/>
    <tableColumn id="6" xr3:uid="{A57817CB-B88A-45C3-A375-958C8AC2C561}" name="Estabilidad Funcional" dataDxfId="10"/>
    <tableColumn id="7" xr3:uid="{825BCA6B-7C45-49D7-A53B-2626A7BFB9D6}" name="Resolución deterministica" dataDxfId="9"/>
    <tableColumn id="8" xr3:uid="{35C3DD19-21A4-4965-92C9-B9F246609E9E}" name="Compatabilidad técnica" dataDxfId="8"/>
    <tableColumn id="9" xr3:uid="{A589E5EF-909D-4A21-8F0B-F74203A54352}" name="¿Automatizar?" dataDxfId="7">
      <calculatedColumnFormula>VLOOKUP(Tabla55[[#This Row],[ID_CASO]],Tabla1[[ID_CASO]:[Automatizable]],17,FALSE)</calculatedColumnFormula>
    </tableColumn>
    <tableColumn id="10" xr3:uid="{0D3EB567-17E0-4333-B66A-5821203EE47F}" name="Justificación" dataDxfId="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7D1A299-C765-4E8F-B884-AFE72BCEE4D4}" name="Tabla7" displayName="Tabla7" ref="B3:C8" totalsRowShown="0" headerRowDxfId="5" headerRowBorderDxfId="4" tableBorderDxfId="3" totalsRowBorderDxfId="2">
  <autoFilter ref="B3:C8" xr:uid="{57D1A299-C765-4E8F-B884-AFE72BCEE4D4}"/>
  <tableColumns count="2">
    <tableColumn id="1" xr3:uid="{E5634FEF-BACB-4225-8A21-C67C49A4C5E1}" name="Criterio" dataDxfId="1"/>
    <tableColumn id="2" xr3:uid="{268787D4-1B55-4EBA-B8B5-779D067144C8}" name="Interpretación" dataDxfId="0"/>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tiuesedusv-my.sharepoint.com/:b:/g/personal/sa16007_ti_ues_edu_sv/ESJcmUl-mGdOioBA2V57vJYBOoYjBYW4M4OTxI4zXM0Sow?e=vuEP2c" TargetMode="External"/><Relationship Id="rId1" Type="http://schemas.openxmlformats.org/officeDocument/2006/relationships/hyperlink" Target="https://tiuesedusv-my.sharepoint.com/:b:/g/personal/sa16007_ti_ues_edu_sv/ESJcmUl-mGdOioBA2V57vJYBOoYjBYW4M4OTxI4zXM0Sow?e=vuEP2c" TargetMode="Externa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A6EC-0790-46DD-AE0D-E5981FD705C1}">
  <dimension ref="A1"/>
  <sheetViews>
    <sheetView workbookViewId="0">
      <selection activeCell="D2" sqref="D2:I24"/>
    </sheetView>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AF82-2C50-4A17-95AA-A2B31829BCA7}">
  <dimension ref="A1:S21"/>
  <sheetViews>
    <sheetView workbookViewId="0">
      <selection activeCell="D2" sqref="D2:I24"/>
    </sheetView>
  </sheetViews>
  <sheetFormatPr baseColWidth="10" defaultRowHeight="15" x14ac:dyDescent="0.25"/>
  <cols>
    <col min="1" max="1" width="18.5703125" bestFit="1" customWidth="1"/>
    <col min="2" max="2" width="18.7109375" bestFit="1" customWidth="1"/>
    <col min="3" max="3" width="54.42578125" bestFit="1" customWidth="1"/>
    <col min="4" max="4" width="24" bestFit="1" customWidth="1"/>
    <col min="5" max="9" width="81.140625" bestFit="1" customWidth="1"/>
    <col min="10" max="10" width="26.7109375" bestFit="1" customWidth="1"/>
    <col min="11" max="11" width="16.5703125" bestFit="1" customWidth="1"/>
    <col min="12" max="12" width="20.28515625" bestFit="1" customWidth="1"/>
    <col min="13" max="13" width="28.140625" bestFit="1" customWidth="1"/>
    <col min="14" max="14" width="34" bestFit="1" customWidth="1"/>
    <col min="15" max="15" width="37.85546875" bestFit="1" customWidth="1"/>
    <col min="16" max="16" width="16.140625" bestFit="1" customWidth="1"/>
    <col min="17" max="17" width="23.5703125" bestFit="1" customWidth="1"/>
    <col min="18" max="18" width="34.7109375" bestFit="1" customWidth="1"/>
    <col min="19" max="19" width="29.5703125" bestFit="1" customWidth="1"/>
  </cols>
  <sheetData>
    <row r="1" spans="1:19" x14ac:dyDescent="0.25">
      <c r="A1" s="29" t="s">
        <v>806</v>
      </c>
    </row>
    <row r="3" spans="1:19" x14ac:dyDescent="0.25">
      <c r="A3" t="s">
        <v>774</v>
      </c>
      <c r="B3" t="s">
        <v>775</v>
      </c>
      <c r="C3" t="s">
        <v>776</v>
      </c>
      <c r="D3" t="s">
        <v>777</v>
      </c>
      <c r="E3" t="s">
        <v>778</v>
      </c>
      <c r="F3" t="s">
        <v>779</v>
      </c>
      <c r="G3" t="s">
        <v>780</v>
      </c>
      <c r="H3" t="s">
        <v>781</v>
      </c>
      <c r="I3" t="s">
        <v>782</v>
      </c>
      <c r="J3" t="s">
        <v>783</v>
      </c>
      <c r="K3" t="s">
        <v>784</v>
      </c>
      <c r="L3" t="s">
        <v>785</v>
      </c>
      <c r="M3" t="s">
        <v>786</v>
      </c>
      <c r="N3" t="s">
        <v>787</v>
      </c>
      <c r="O3" t="s">
        <v>788</v>
      </c>
      <c r="P3" t="s">
        <v>789</v>
      </c>
      <c r="Q3" t="s">
        <v>790</v>
      </c>
      <c r="R3" t="s">
        <v>791</v>
      </c>
      <c r="S3" t="s">
        <v>792</v>
      </c>
    </row>
    <row r="4" spans="1:19" x14ac:dyDescent="0.25">
      <c r="A4" t="s">
        <v>37</v>
      </c>
      <c r="B4" t="s">
        <v>19</v>
      </c>
      <c r="C4" t="s">
        <v>38</v>
      </c>
      <c r="D4" t="s">
        <v>21</v>
      </c>
      <c r="E4" t="s">
        <v>39</v>
      </c>
      <c r="F4" t="s">
        <v>793</v>
      </c>
      <c r="G4" t="s">
        <v>41</v>
      </c>
      <c r="H4" t="s">
        <v>42</v>
      </c>
      <c r="I4" t="s">
        <v>43</v>
      </c>
      <c r="J4" t="s">
        <v>27</v>
      </c>
      <c r="K4" t="s">
        <v>44</v>
      </c>
      <c r="M4" s="28">
        <v>45951</v>
      </c>
      <c r="N4" s="28">
        <v>45951</v>
      </c>
      <c r="O4">
        <v>120</v>
      </c>
      <c r="P4" t="s">
        <v>29</v>
      </c>
      <c r="Q4" t="s">
        <v>30</v>
      </c>
      <c r="R4" t="s">
        <v>31</v>
      </c>
      <c r="S4" t="s">
        <v>766</v>
      </c>
    </row>
    <row r="5" spans="1:19" x14ac:dyDescent="0.25">
      <c r="A5" t="s">
        <v>45</v>
      </c>
      <c r="B5" t="s">
        <v>19</v>
      </c>
      <c r="C5" t="s">
        <v>46</v>
      </c>
      <c r="D5" t="s">
        <v>21</v>
      </c>
      <c r="E5" t="s">
        <v>794</v>
      </c>
      <c r="F5" t="s">
        <v>795</v>
      </c>
      <c r="G5" t="s">
        <v>24</v>
      </c>
      <c r="H5" t="s">
        <v>796</v>
      </c>
      <c r="I5" t="s">
        <v>50</v>
      </c>
      <c r="J5" t="s">
        <v>27</v>
      </c>
      <c r="K5" t="s">
        <v>44</v>
      </c>
      <c r="M5" s="28">
        <v>45951</v>
      </c>
      <c r="N5" s="28">
        <v>45951</v>
      </c>
      <c r="O5">
        <v>35</v>
      </c>
      <c r="P5" t="s">
        <v>29</v>
      </c>
      <c r="Q5" t="s">
        <v>30</v>
      </c>
      <c r="R5" t="s">
        <v>31</v>
      </c>
      <c r="S5" t="s">
        <v>766</v>
      </c>
    </row>
    <row r="6" spans="1:19" x14ac:dyDescent="0.25">
      <c r="A6" t="s">
        <v>68</v>
      </c>
      <c r="B6" t="s">
        <v>19</v>
      </c>
      <c r="C6" t="s">
        <v>69</v>
      </c>
      <c r="D6" t="s">
        <v>70</v>
      </c>
      <c r="E6" t="s">
        <v>71</v>
      </c>
      <c r="F6" t="s">
        <v>797</v>
      </c>
      <c r="G6" t="s">
        <v>73</v>
      </c>
      <c r="H6" t="s">
        <v>74</v>
      </c>
      <c r="I6" t="s">
        <v>75</v>
      </c>
      <c r="J6" t="s">
        <v>27</v>
      </c>
      <c r="K6" t="s">
        <v>44</v>
      </c>
      <c r="M6" s="28">
        <v>45951</v>
      </c>
      <c r="N6" s="28">
        <v>45951</v>
      </c>
      <c r="O6">
        <v>20</v>
      </c>
      <c r="P6" t="s">
        <v>29</v>
      </c>
      <c r="Q6" t="s">
        <v>30</v>
      </c>
      <c r="R6" t="s">
        <v>31</v>
      </c>
      <c r="S6" t="s">
        <v>766</v>
      </c>
    </row>
    <row r="7" spans="1:19" x14ac:dyDescent="0.25">
      <c r="A7" t="s">
        <v>222</v>
      </c>
      <c r="B7" t="s">
        <v>189</v>
      </c>
      <c r="C7" t="s">
        <v>223</v>
      </c>
      <c r="D7" t="s">
        <v>21</v>
      </c>
      <c r="E7" t="s">
        <v>224</v>
      </c>
      <c r="F7" t="s">
        <v>225</v>
      </c>
      <c r="G7" t="s">
        <v>226</v>
      </c>
      <c r="H7" t="s">
        <v>64</v>
      </c>
      <c r="I7" t="s">
        <v>227</v>
      </c>
      <c r="J7" t="s">
        <v>180</v>
      </c>
      <c r="K7" t="s">
        <v>44</v>
      </c>
      <c r="M7" s="28">
        <v>45951</v>
      </c>
      <c r="N7" s="28">
        <v>45951</v>
      </c>
      <c r="O7">
        <v>30</v>
      </c>
      <c r="P7" t="s">
        <v>112</v>
      </c>
      <c r="Q7" t="s">
        <v>67</v>
      </c>
      <c r="R7" t="s">
        <v>67</v>
      </c>
      <c r="S7" t="s">
        <v>769</v>
      </c>
    </row>
    <row r="8" spans="1:19" x14ac:dyDescent="0.25">
      <c r="A8" t="s">
        <v>320</v>
      </c>
      <c r="B8" t="s">
        <v>229</v>
      </c>
      <c r="C8" t="s">
        <v>321</v>
      </c>
      <c r="D8" t="s">
        <v>61</v>
      </c>
      <c r="E8" t="s">
        <v>322</v>
      </c>
      <c r="F8" t="s">
        <v>323</v>
      </c>
      <c r="G8" t="s">
        <v>324</v>
      </c>
      <c r="H8" t="s">
        <v>325</v>
      </c>
      <c r="I8" t="s">
        <v>326</v>
      </c>
      <c r="J8" t="s">
        <v>27</v>
      </c>
      <c r="K8" t="s">
        <v>44</v>
      </c>
      <c r="M8" s="28">
        <v>45954</v>
      </c>
      <c r="N8" s="28">
        <v>45954</v>
      </c>
      <c r="O8">
        <v>25</v>
      </c>
      <c r="P8" t="s">
        <v>29</v>
      </c>
      <c r="Q8" t="s">
        <v>30</v>
      </c>
      <c r="R8" t="s">
        <v>31</v>
      </c>
      <c r="S8" t="s">
        <v>766</v>
      </c>
    </row>
    <row r="9" spans="1:19" x14ac:dyDescent="0.25">
      <c r="A9" t="s">
        <v>335</v>
      </c>
      <c r="B9" t="s">
        <v>336</v>
      </c>
      <c r="C9" t="s">
        <v>337</v>
      </c>
      <c r="D9" t="s">
        <v>61</v>
      </c>
      <c r="E9" t="s">
        <v>338</v>
      </c>
      <c r="F9" t="s">
        <v>339</v>
      </c>
      <c r="G9" t="s">
        <v>340</v>
      </c>
      <c r="H9" t="s">
        <v>341</v>
      </c>
      <c r="I9" t="s">
        <v>342</v>
      </c>
      <c r="J9" t="s">
        <v>27</v>
      </c>
      <c r="K9" t="s">
        <v>44</v>
      </c>
      <c r="M9" s="28">
        <v>45955</v>
      </c>
      <c r="N9" s="28"/>
      <c r="O9">
        <v>35</v>
      </c>
      <c r="P9" t="s">
        <v>29</v>
      </c>
      <c r="Q9" t="s">
        <v>30</v>
      </c>
      <c r="R9" t="s">
        <v>31</v>
      </c>
      <c r="S9" t="s">
        <v>766</v>
      </c>
    </row>
    <row r="10" spans="1:19" x14ac:dyDescent="0.25">
      <c r="A10" t="s">
        <v>343</v>
      </c>
      <c r="B10" t="s">
        <v>344</v>
      </c>
      <c r="C10" t="s">
        <v>345</v>
      </c>
      <c r="D10" t="s">
        <v>183</v>
      </c>
      <c r="E10" t="s">
        <v>346</v>
      </c>
      <c r="F10" t="s">
        <v>347</v>
      </c>
      <c r="G10" t="s">
        <v>348</v>
      </c>
      <c r="H10" t="s">
        <v>349</v>
      </c>
      <c r="I10" t="s">
        <v>350</v>
      </c>
      <c r="J10" t="s">
        <v>27</v>
      </c>
      <c r="K10" t="s">
        <v>44</v>
      </c>
      <c r="M10" s="28">
        <v>45952</v>
      </c>
      <c r="N10" s="28">
        <v>45952</v>
      </c>
      <c r="O10">
        <v>120</v>
      </c>
      <c r="P10" t="s">
        <v>160</v>
      </c>
      <c r="Q10" t="s">
        <v>67</v>
      </c>
      <c r="R10" t="s">
        <v>67</v>
      </c>
      <c r="S10" t="s">
        <v>767</v>
      </c>
    </row>
    <row r="11" spans="1:19" x14ac:dyDescent="0.25">
      <c r="A11" t="s">
        <v>358</v>
      </c>
      <c r="B11" t="s">
        <v>344</v>
      </c>
      <c r="C11" t="s">
        <v>359</v>
      </c>
      <c r="D11" t="s">
        <v>183</v>
      </c>
      <c r="E11" t="s">
        <v>360</v>
      </c>
      <c r="F11" t="s">
        <v>798</v>
      </c>
      <c r="G11" t="s">
        <v>799</v>
      </c>
      <c r="H11" t="s">
        <v>362</v>
      </c>
      <c r="I11" t="s">
        <v>363</v>
      </c>
      <c r="J11" t="s">
        <v>27</v>
      </c>
      <c r="K11" t="s">
        <v>44</v>
      </c>
      <c r="M11" s="28">
        <v>45952</v>
      </c>
      <c r="N11" s="28">
        <v>45952</v>
      </c>
      <c r="P11" t="s">
        <v>160</v>
      </c>
      <c r="Q11" t="s">
        <v>67</v>
      </c>
      <c r="R11" t="s">
        <v>67</v>
      </c>
      <c r="S11" t="s">
        <v>767</v>
      </c>
    </row>
    <row r="12" spans="1:19" x14ac:dyDescent="0.25">
      <c r="A12" t="s">
        <v>364</v>
      </c>
      <c r="B12" t="s">
        <v>344</v>
      </c>
      <c r="C12" t="s">
        <v>365</v>
      </c>
      <c r="D12" t="s">
        <v>183</v>
      </c>
      <c r="E12" t="s">
        <v>366</v>
      </c>
      <c r="F12" t="s">
        <v>367</v>
      </c>
      <c r="G12" t="s">
        <v>368</v>
      </c>
      <c r="H12" t="s">
        <v>369</v>
      </c>
      <c r="I12" t="s">
        <v>370</v>
      </c>
      <c r="J12" t="s">
        <v>27</v>
      </c>
      <c r="K12" t="s">
        <v>44</v>
      </c>
      <c r="M12" s="28">
        <v>45952</v>
      </c>
      <c r="N12" s="28">
        <v>45952</v>
      </c>
      <c r="P12" t="s">
        <v>160</v>
      </c>
      <c r="Q12" t="s">
        <v>67</v>
      </c>
      <c r="R12" t="s">
        <v>67</v>
      </c>
      <c r="S12" t="s">
        <v>767</v>
      </c>
    </row>
    <row r="13" spans="1:19" x14ac:dyDescent="0.25">
      <c r="A13" t="s">
        <v>400</v>
      </c>
      <c r="B13" t="s">
        <v>372</v>
      </c>
      <c r="C13" t="s">
        <v>401</v>
      </c>
      <c r="D13" t="s">
        <v>61</v>
      </c>
      <c r="E13" t="s">
        <v>402</v>
      </c>
      <c r="F13" t="s">
        <v>800</v>
      </c>
      <c r="G13" t="s">
        <v>404</v>
      </c>
      <c r="H13" t="s">
        <v>405</v>
      </c>
      <c r="I13" t="s">
        <v>406</v>
      </c>
      <c r="J13" t="s">
        <v>27</v>
      </c>
      <c r="K13" t="s">
        <v>44</v>
      </c>
      <c r="M13" s="28">
        <v>45953</v>
      </c>
      <c r="N13" s="28">
        <v>45953</v>
      </c>
      <c r="O13">
        <v>20</v>
      </c>
      <c r="P13" t="s">
        <v>160</v>
      </c>
      <c r="Q13" t="s">
        <v>30</v>
      </c>
      <c r="R13" t="s">
        <v>31</v>
      </c>
      <c r="S13" t="s">
        <v>766</v>
      </c>
    </row>
    <row r="14" spans="1:19" x14ac:dyDescent="0.25">
      <c r="A14" t="s">
        <v>422</v>
      </c>
      <c r="B14" t="s">
        <v>415</v>
      </c>
      <c r="C14" t="s">
        <v>423</v>
      </c>
      <c r="D14" t="s">
        <v>98</v>
      </c>
      <c r="E14" t="s">
        <v>424</v>
      </c>
      <c r="F14" t="s">
        <v>801</v>
      </c>
      <c r="G14" t="s">
        <v>426</v>
      </c>
      <c r="H14" t="s">
        <v>420</v>
      </c>
      <c r="I14" t="s">
        <v>427</v>
      </c>
      <c r="J14" t="s">
        <v>180</v>
      </c>
      <c r="K14" t="s">
        <v>44</v>
      </c>
      <c r="M14" s="28">
        <v>45953</v>
      </c>
      <c r="N14" s="28">
        <v>45953</v>
      </c>
      <c r="O14">
        <v>20</v>
      </c>
      <c r="P14" t="s">
        <v>160</v>
      </c>
      <c r="Q14" t="s">
        <v>30</v>
      </c>
      <c r="R14" t="s">
        <v>31</v>
      </c>
      <c r="S14" t="s">
        <v>766</v>
      </c>
    </row>
    <row r="15" spans="1:19" x14ac:dyDescent="0.25">
      <c r="A15" t="s">
        <v>455</v>
      </c>
      <c r="B15" t="s">
        <v>449</v>
      </c>
      <c r="C15" t="s">
        <v>456</v>
      </c>
      <c r="D15" t="s">
        <v>61</v>
      </c>
      <c r="E15" t="s">
        <v>457</v>
      </c>
      <c r="F15" t="s">
        <v>458</v>
      </c>
      <c r="G15" t="s">
        <v>459</v>
      </c>
      <c r="H15" t="s">
        <v>460</v>
      </c>
      <c r="I15" t="s">
        <v>461</v>
      </c>
      <c r="J15" t="s">
        <v>27</v>
      </c>
      <c r="K15" t="s">
        <v>44</v>
      </c>
      <c r="M15" s="28">
        <v>45954</v>
      </c>
      <c r="N15" s="28">
        <v>45954</v>
      </c>
      <c r="O15">
        <v>30</v>
      </c>
      <c r="P15" t="s">
        <v>160</v>
      </c>
      <c r="Q15" t="s">
        <v>67</v>
      </c>
      <c r="R15" t="s">
        <v>67</v>
      </c>
      <c r="S15" t="s">
        <v>768</v>
      </c>
    </row>
    <row r="16" spans="1:19" x14ac:dyDescent="0.25">
      <c r="A16" t="s">
        <v>490</v>
      </c>
      <c r="B16" t="s">
        <v>477</v>
      </c>
      <c r="C16" t="s">
        <v>491</v>
      </c>
      <c r="D16" t="s">
        <v>21</v>
      </c>
      <c r="E16" t="s">
        <v>492</v>
      </c>
      <c r="F16" t="s">
        <v>802</v>
      </c>
      <c r="G16" t="s">
        <v>803</v>
      </c>
      <c r="H16" t="s">
        <v>495</v>
      </c>
      <c r="I16" t="s">
        <v>496</v>
      </c>
      <c r="J16" t="s">
        <v>58</v>
      </c>
      <c r="K16" t="s">
        <v>44</v>
      </c>
      <c r="M16" s="28">
        <v>45952</v>
      </c>
      <c r="N16" s="28">
        <v>45952</v>
      </c>
      <c r="O16">
        <v>15</v>
      </c>
      <c r="P16" t="s">
        <v>112</v>
      </c>
      <c r="Q16" t="s">
        <v>30</v>
      </c>
      <c r="R16" t="s">
        <v>67</v>
      </c>
      <c r="S16" t="s">
        <v>767</v>
      </c>
    </row>
    <row r="17" spans="1:19" x14ac:dyDescent="0.25">
      <c r="A17" t="s">
        <v>690</v>
      </c>
      <c r="B17" t="s">
        <v>336</v>
      </c>
      <c r="C17" t="s">
        <v>691</v>
      </c>
      <c r="D17" t="s">
        <v>61</v>
      </c>
      <c r="E17" t="s">
        <v>692</v>
      </c>
      <c r="F17" t="s">
        <v>693</v>
      </c>
      <c r="G17" t="s">
        <v>694</v>
      </c>
      <c r="H17" t="s">
        <v>695</v>
      </c>
      <c r="I17" t="s">
        <v>696</v>
      </c>
      <c r="J17" t="s">
        <v>27</v>
      </c>
      <c r="K17" t="s">
        <v>44</v>
      </c>
      <c r="M17" s="28">
        <v>45955</v>
      </c>
      <c r="N17" s="28">
        <v>45955</v>
      </c>
      <c r="O17">
        <v>25</v>
      </c>
      <c r="P17" t="s">
        <v>29</v>
      </c>
      <c r="Q17" t="s">
        <v>30</v>
      </c>
      <c r="R17" t="s">
        <v>31</v>
      </c>
      <c r="S17" t="s">
        <v>766</v>
      </c>
    </row>
    <row r="18" spans="1:19" x14ac:dyDescent="0.25">
      <c r="A18" t="s">
        <v>710</v>
      </c>
      <c r="B18" t="s">
        <v>336</v>
      </c>
      <c r="C18" t="s">
        <v>711</v>
      </c>
      <c r="D18" t="s">
        <v>61</v>
      </c>
      <c r="E18" t="s">
        <v>712</v>
      </c>
      <c r="F18" t="s">
        <v>713</v>
      </c>
      <c r="G18" t="s">
        <v>714</v>
      </c>
      <c r="H18" t="s">
        <v>715</v>
      </c>
      <c r="I18" t="s">
        <v>716</v>
      </c>
      <c r="J18" t="s">
        <v>58</v>
      </c>
      <c r="K18" t="s">
        <v>44</v>
      </c>
      <c r="M18" s="28">
        <v>45955</v>
      </c>
      <c r="N18" s="28">
        <v>45955</v>
      </c>
      <c r="O18">
        <v>30</v>
      </c>
      <c r="P18" t="s">
        <v>29</v>
      </c>
      <c r="Q18" t="s">
        <v>30</v>
      </c>
      <c r="R18" t="s">
        <v>31</v>
      </c>
      <c r="S18" t="s">
        <v>766</v>
      </c>
    </row>
    <row r="19" spans="1:19" x14ac:dyDescent="0.25">
      <c r="A19" t="s">
        <v>717</v>
      </c>
      <c r="B19" t="s">
        <v>336</v>
      </c>
      <c r="C19" t="s">
        <v>718</v>
      </c>
      <c r="D19" t="s">
        <v>61</v>
      </c>
      <c r="E19" t="s">
        <v>719</v>
      </c>
      <c r="F19" t="s">
        <v>720</v>
      </c>
      <c r="G19" t="s">
        <v>721</v>
      </c>
      <c r="H19" t="s">
        <v>64</v>
      </c>
      <c r="I19" t="s">
        <v>722</v>
      </c>
      <c r="J19" t="s">
        <v>58</v>
      </c>
      <c r="K19" t="s">
        <v>44</v>
      </c>
      <c r="M19" s="28">
        <v>45956</v>
      </c>
      <c r="N19" s="28">
        <v>45956</v>
      </c>
      <c r="O19">
        <v>30</v>
      </c>
      <c r="P19" t="s">
        <v>29</v>
      </c>
      <c r="Q19" t="s">
        <v>30</v>
      </c>
      <c r="R19" t="s">
        <v>31</v>
      </c>
      <c r="S19" t="s">
        <v>766</v>
      </c>
    </row>
    <row r="20" spans="1:19" x14ac:dyDescent="0.25">
      <c r="A20" t="s">
        <v>750</v>
      </c>
      <c r="B20" t="s">
        <v>751</v>
      </c>
      <c r="C20" t="s">
        <v>752</v>
      </c>
      <c r="D20" t="s">
        <v>753</v>
      </c>
      <c r="E20" t="s">
        <v>754</v>
      </c>
      <c r="F20" t="s">
        <v>755</v>
      </c>
      <c r="G20" t="s">
        <v>756</v>
      </c>
      <c r="H20" t="s">
        <v>757</v>
      </c>
      <c r="I20" t="s">
        <v>804</v>
      </c>
      <c r="J20" t="s">
        <v>58</v>
      </c>
      <c r="K20" t="s">
        <v>44</v>
      </c>
      <c r="M20" s="28">
        <v>45956</v>
      </c>
      <c r="N20" s="28">
        <v>45956</v>
      </c>
      <c r="O20">
        <v>30</v>
      </c>
      <c r="P20" t="s">
        <v>112</v>
      </c>
      <c r="Q20" t="s">
        <v>67</v>
      </c>
      <c r="R20" t="s">
        <v>67</v>
      </c>
      <c r="S20" t="s">
        <v>768</v>
      </c>
    </row>
    <row r="21" spans="1:19" x14ac:dyDescent="0.25">
      <c r="A21" t="s">
        <v>759</v>
      </c>
      <c r="B21" t="s">
        <v>751</v>
      </c>
      <c r="C21" t="s">
        <v>760</v>
      </c>
      <c r="D21" t="s">
        <v>761</v>
      </c>
      <c r="E21" t="s">
        <v>762</v>
      </c>
      <c r="F21" t="s">
        <v>763</v>
      </c>
      <c r="G21" t="s">
        <v>756</v>
      </c>
      <c r="H21" t="s">
        <v>757</v>
      </c>
      <c r="I21" t="s">
        <v>805</v>
      </c>
      <c r="J21" t="s">
        <v>765</v>
      </c>
      <c r="K21" t="s">
        <v>44</v>
      </c>
      <c r="M21" s="28">
        <v>45956</v>
      </c>
      <c r="N21" s="28">
        <v>45956</v>
      </c>
      <c r="O21">
        <v>30</v>
      </c>
      <c r="P21" t="s">
        <v>112</v>
      </c>
      <c r="Q21" t="s">
        <v>67</v>
      </c>
      <c r="R21" t="s">
        <v>67</v>
      </c>
      <c r="S21" t="s">
        <v>767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84EA-3E18-4E85-AA70-8265D7A55284}">
  <dimension ref="A1:S21"/>
  <sheetViews>
    <sheetView topLeftCell="H1" workbookViewId="0">
      <selection activeCell="D2" sqref="D2:I24"/>
    </sheetView>
  </sheetViews>
  <sheetFormatPr baseColWidth="10" defaultRowHeight="15" x14ac:dyDescent="0.25"/>
  <cols>
    <col min="1" max="1" width="18.5703125" bestFit="1" customWidth="1"/>
    <col min="2" max="2" width="18.7109375" bestFit="1" customWidth="1"/>
    <col min="3" max="3" width="54.42578125" bestFit="1" customWidth="1"/>
    <col min="4" max="4" width="24" bestFit="1" customWidth="1"/>
    <col min="5" max="9" width="81.140625" bestFit="1" customWidth="1"/>
    <col min="10" max="10" width="26.7109375" bestFit="1" customWidth="1"/>
    <col min="11" max="11" width="16.5703125" bestFit="1" customWidth="1"/>
    <col min="12" max="12" width="20.28515625" bestFit="1" customWidth="1"/>
    <col min="13" max="13" width="28.140625" bestFit="1" customWidth="1"/>
    <col min="14" max="14" width="34" bestFit="1" customWidth="1"/>
    <col min="15" max="15" width="37.85546875" bestFit="1" customWidth="1"/>
    <col min="16" max="16" width="16.140625" bestFit="1" customWidth="1"/>
    <col min="17" max="17" width="23.5703125" bestFit="1" customWidth="1"/>
    <col min="18" max="18" width="34.7109375" bestFit="1" customWidth="1"/>
    <col min="19" max="19" width="29.5703125" bestFit="1" customWidth="1"/>
  </cols>
  <sheetData>
    <row r="1" spans="1:19" x14ac:dyDescent="0.25">
      <c r="A1" s="29" t="s">
        <v>806</v>
      </c>
    </row>
    <row r="3" spans="1:19" x14ac:dyDescent="0.25">
      <c r="A3" t="s">
        <v>774</v>
      </c>
      <c r="B3" t="s">
        <v>775</v>
      </c>
      <c r="C3" t="s">
        <v>776</v>
      </c>
      <c r="D3" t="s">
        <v>777</v>
      </c>
      <c r="E3" t="s">
        <v>778</v>
      </c>
      <c r="F3" t="s">
        <v>779</v>
      </c>
      <c r="G3" t="s">
        <v>780</v>
      </c>
      <c r="H3" t="s">
        <v>781</v>
      </c>
      <c r="I3" t="s">
        <v>782</v>
      </c>
      <c r="J3" t="s">
        <v>783</v>
      </c>
      <c r="K3" t="s">
        <v>784</v>
      </c>
      <c r="L3" t="s">
        <v>785</v>
      </c>
      <c r="M3" t="s">
        <v>786</v>
      </c>
      <c r="N3" t="s">
        <v>787</v>
      </c>
      <c r="O3" t="s">
        <v>788</v>
      </c>
      <c r="P3" t="s">
        <v>789</v>
      </c>
      <c r="Q3" t="s">
        <v>790</v>
      </c>
      <c r="R3" t="s">
        <v>791</v>
      </c>
      <c r="S3" t="s">
        <v>792</v>
      </c>
    </row>
    <row r="4" spans="1:19" x14ac:dyDescent="0.25">
      <c r="A4" t="s">
        <v>37</v>
      </c>
      <c r="B4" t="s">
        <v>19</v>
      </c>
      <c r="C4" t="s">
        <v>38</v>
      </c>
      <c r="D4" t="s">
        <v>21</v>
      </c>
      <c r="E4" t="s">
        <v>39</v>
      </c>
      <c r="F4" t="s">
        <v>793</v>
      </c>
      <c r="G4" t="s">
        <v>41</v>
      </c>
      <c r="H4" t="s">
        <v>42</v>
      </c>
      <c r="I4" t="s">
        <v>43</v>
      </c>
      <c r="J4" t="s">
        <v>27</v>
      </c>
      <c r="K4" t="s">
        <v>44</v>
      </c>
      <c r="M4" s="28">
        <v>45951</v>
      </c>
      <c r="N4" s="28">
        <v>45951</v>
      </c>
      <c r="O4">
        <v>120</v>
      </c>
      <c r="P4" t="s">
        <v>29</v>
      </c>
      <c r="Q4" t="s">
        <v>30</v>
      </c>
      <c r="R4" t="s">
        <v>31</v>
      </c>
      <c r="S4" t="s">
        <v>766</v>
      </c>
    </row>
    <row r="5" spans="1:19" x14ac:dyDescent="0.25">
      <c r="A5" t="s">
        <v>45</v>
      </c>
      <c r="B5" t="s">
        <v>19</v>
      </c>
      <c r="C5" t="s">
        <v>46</v>
      </c>
      <c r="D5" t="s">
        <v>21</v>
      </c>
      <c r="E5" t="s">
        <v>794</v>
      </c>
      <c r="F5" t="s">
        <v>795</v>
      </c>
      <c r="G5" t="s">
        <v>24</v>
      </c>
      <c r="H5" t="s">
        <v>796</v>
      </c>
      <c r="I5" t="s">
        <v>50</v>
      </c>
      <c r="J5" t="s">
        <v>27</v>
      </c>
      <c r="K5" t="s">
        <v>44</v>
      </c>
      <c r="M5" s="28">
        <v>45951</v>
      </c>
      <c r="N5" s="28">
        <v>45951</v>
      </c>
      <c r="O5">
        <v>35</v>
      </c>
      <c r="P5" t="s">
        <v>29</v>
      </c>
      <c r="Q5" t="s">
        <v>30</v>
      </c>
      <c r="R5" t="s">
        <v>31</v>
      </c>
      <c r="S5" t="s">
        <v>766</v>
      </c>
    </row>
    <row r="6" spans="1:19" x14ac:dyDescent="0.25">
      <c r="A6" t="s">
        <v>68</v>
      </c>
      <c r="B6" t="s">
        <v>19</v>
      </c>
      <c r="C6" t="s">
        <v>69</v>
      </c>
      <c r="D6" t="s">
        <v>70</v>
      </c>
      <c r="E6" t="s">
        <v>71</v>
      </c>
      <c r="F6" t="s">
        <v>797</v>
      </c>
      <c r="G6" t="s">
        <v>73</v>
      </c>
      <c r="H6" t="s">
        <v>74</v>
      </c>
      <c r="I6" t="s">
        <v>75</v>
      </c>
      <c r="J6" t="s">
        <v>27</v>
      </c>
      <c r="K6" t="s">
        <v>44</v>
      </c>
      <c r="M6" s="28">
        <v>45951</v>
      </c>
      <c r="N6" s="28">
        <v>45951</v>
      </c>
      <c r="O6">
        <v>20</v>
      </c>
      <c r="P6" t="s">
        <v>29</v>
      </c>
      <c r="Q6" t="s">
        <v>30</v>
      </c>
      <c r="R6" t="s">
        <v>31</v>
      </c>
      <c r="S6" t="s">
        <v>766</v>
      </c>
    </row>
    <row r="7" spans="1:19" x14ac:dyDescent="0.25">
      <c r="A7" t="s">
        <v>222</v>
      </c>
      <c r="B7" t="s">
        <v>189</v>
      </c>
      <c r="C7" t="s">
        <v>223</v>
      </c>
      <c r="D7" t="s">
        <v>21</v>
      </c>
      <c r="E7" t="s">
        <v>224</v>
      </c>
      <c r="F7" t="s">
        <v>225</v>
      </c>
      <c r="G7" t="s">
        <v>226</v>
      </c>
      <c r="H7" t="s">
        <v>64</v>
      </c>
      <c r="I7" t="s">
        <v>227</v>
      </c>
      <c r="J7" t="s">
        <v>180</v>
      </c>
      <c r="K7" t="s">
        <v>44</v>
      </c>
      <c r="M7" s="28">
        <v>45951</v>
      </c>
      <c r="N7" s="28">
        <v>45951</v>
      </c>
      <c r="O7">
        <v>30</v>
      </c>
      <c r="P7" t="s">
        <v>112</v>
      </c>
      <c r="Q7" t="s">
        <v>67</v>
      </c>
      <c r="R7" t="s">
        <v>67</v>
      </c>
      <c r="S7" t="s">
        <v>769</v>
      </c>
    </row>
    <row r="8" spans="1:19" x14ac:dyDescent="0.25">
      <c r="A8" t="s">
        <v>320</v>
      </c>
      <c r="B8" t="s">
        <v>229</v>
      </c>
      <c r="C8" t="s">
        <v>321</v>
      </c>
      <c r="D8" t="s">
        <v>61</v>
      </c>
      <c r="E8" t="s">
        <v>322</v>
      </c>
      <c r="F8" t="s">
        <v>323</v>
      </c>
      <c r="G8" t="s">
        <v>324</v>
      </c>
      <c r="H8" t="s">
        <v>325</v>
      </c>
      <c r="I8" t="s">
        <v>326</v>
      </c>
      <c r="J8" t="s">
        <v>27</v>
      </c>
      <c r="K8" t="s">
        <v>44</v>
      </c>
      <c r="M8" s="28">
        <v>45954</v>
      </c>
      <c r="N8" s="28">
        <v>45954</v>
      </c>
      <c r="O8">
        <v>25</v>
      </c>
      <c r="P8" t="s">
        <v>29</v>
      </c>
      <c r="Q8" t="s">
        <v>30</v>
      </c>
      <c r="R8" t="s">
        <v>31</v>
      </c>
      <c r="S8" t="s">
        <v>766</v>
      </c>
    </row>
    <row r="9" spans="1:19" x14ac:dyDescent="0.25">
      <c r="A9" t="s">
        <v>335</v>
      </c>
      <c r="B9" t="s">
        <v>336</v>
      </c>
      <c r="C9" t="s">
        <v>337</v>
      </c>
      <c r="D9" t="s">
        <v>61</v>
      </c>
      <c r="E9" t="s">
        <v>338</v>
      </c>
      <c r="F9" t="s">
        <v>339</v>
      </c>
      <c r="G9" t="s">
        <v>340</v>
      </c>
      <c r="H9" t="s">
        <v>341</v>
      </c>
      <c r="I9" t="s">
        <v>342</v>
      </c>
      <c r="J9" t="s">
        <v>27</v>
      </c>
      <c r="K9" t="s">
        <v>44</v>
      </c>
      <c r="M9" s="28">
        <v>45955</v>
      </c>
      <c r="N9" s="28"/>
      <c r="O9">
        <v>35</v>
      </c>
      <c r="P9" t="s">
        <v>29</v>
      </c>
      <c r="Q9" t="s">
        <v>30</v>
      </c>
      <c r="R9" t="s">
        <v>31</v>
      </c>
      <c r="S9" t="s">
        <v>766</v>
      </c>
    </row>
    <row r="10" spans="1:19" x14ac:dyDescent="0.25">
      <c r="A10" t="s">
        <v>343</v>
      </c>
      <c r="B10" t="s">
        <v>344</v>
      </c>
      <c r="C10" t="s">
        <v>345</v>
      </c>
      <c r="D10" t="s">
        <v>183</v>
      </c>
      <c r="E10" t="s">
        <v>346</v>
      </c>
      <c r="F10" t="s">
        <v>347</v>
      </c>
      <c r="G10" t="s">
        <v>348</v>
      </c>
      <c r="H10" t="s">
        <v>349</v>
      </c>
      <c r="I10" t="s">
        <v>350</v>
      </c>
      <c r="J10" t="s">
        <v>27</v>
      </c>
      <c r="K10" t="s">
        <v>44</v>
      </c>
      <c r="M10" s="28">
        <v>45952</v>
      </c>
      <c r="N10" s="28">
        <v>45952</v>
      </c>
      <c r="O10">
        <v>120</v>
      </c>
      <c r="P10" t="s">
        <v>160</v>
      </c>
      <c r="Q10" t="s">
        <v>67</v>
      </c>
      <c r="R10" t="s">
        <v>67</v>
      </c>
      <c r="S10" t="s">
        <v>767</v>
      </c>
    </row>
    <row r="11" spans="1:19" x14ac:dyDescent="0.25">
      <c r="A11" t="s">
        <v>358</v>
      </c>
      <c r="B11" t="s">
        <v>344</v>
      </c>
      <c r="C11" t="s">
        <v>359</v>
      </c>
      <c r="D11" t="s">
        <v>183</v>
      </c>
      <c r="E11" t="s">
        <v>360</v>
      </c>
      <c r="F11" t="s">
        <v>798</v>
      </c>
      <c r="G11" t="s">
        <v>799</v>
      </c>
      <c r="H11" t="s">
        <v>362</v>
      </c>
      <c r="I11" t="s">
        <v>363</v>
      </c>
      <c r="J11" t="s">
        <v>27</v>
      </c>
      <c r="K11" t="s">
        <v>44</v>
      </c>
      <c r="M11" s="28">
        <v>45952</v>
      </c>
      <c r="N11" s="28">
        <v>45952</v>
      </c>
      <c r="P11" t="s">
        <v>160</v>
      </c>
      <c r="Q11" t="s">
        <v>67</v>
      </c>
      <c r="R11" t="s">
        <v>67</v>
      </c>
      <c r="S11" t="s">
        <v>767</v>
      </c>
    </row>
    <row r="12" spans="1:19" x14ac:dyDescent="0.25">
      <c r="A12" t="s">
        <v>364</v>
      </c>
      <c r="B12" t="s">
        <v>344</v>
      </c>
      <c r="C12" t="s">
        <v>365</v>
      </c>
      <c r="D12" t="s">
        <v>183</v>
      </c>
      <c r="E12" t="s">
        <v>366</v>
      </c>
      <c r="F12" t="s">
        <v>367</v>
      </c>
      <c r="G12" t="s">
        <v>368</v>
      </c>
      <c r="H12" t="s">
        <v>369</v>
      </c>
      <c r="I12" t="s">
        <v>370</v>
      </c>
      <c r="J12" t="s">
        <v>27</v>
      </c>
      <c r="K12" t="s">
        <v>44</v>
      </c>
      <c r="M12" s="28">
        <v>45952</v>
      </c>
      <c r="N12" s="28">
        <v>45952</v>
      </c>
      <c r="P12" t="s">
        <v>160</v>
      </c>
      <c r="Q12" t="s">
        <v>67</v>
      </c>
      <c r="R12" t="s">
        <v>67</v>
      </c>
      <c r="S12" t="s">
        <v>767</v>
      </c>
    </row>
    <row r="13" spans="1:19" x14ac:dyDescent="0.25">
      <c r="A13" t="s">
        <v>400</v>
      </c>
      <c r="B13" t="s">
        <v>372</v>
      </c>
      <c r="C13" t="s">
        <v>401</v>
      </c>
      <c r="D13" t="s">
        <v>61</v>
      </c>
      <c r="E13" t="s">
        <v>402</v>
      </c>
      <c r="F13" t="s">
        <v>800</v>
      </c>
      <c r="G13" t="s">
        <v>404</v>
      </c>
      <c r="H13" t="s">
        <v>405</v>
      </c>
      <c r="I13" t="s">
        <v>406</v>
      </c>
      <c r="J13" t="s">
        <v>27</v>
      </c>
      <c r="K13" t="s">
        <v>44</v>
      </c>
      <c r="M13" s="28">
        <v>45953</v>
      </c>
      <c r="N13" s="28">
        <v>45953</v>
      </c>
      <c r="O13">
        <v>20</v>
      </c>
      <c r="P13" t="s">
        <v>160</v>
      </c>
      <c r="Q13" t="s">
        <v>30</v>
      </c>
      <c r="R13" t="s">
        <v>31</v>
      </c>
      <c r="S13" t="s">
        <v>766</v>
      </c>
    </row>
    <row r="14" spans="1:19" x14ac:dyDescent="0.25">
      <c r="A14" t="s">
        <v>422</v>
      </c>
      <c r="B14" t="s">
        <v>415</v>
      </c>
      <c r="C14" t="s">
        <v>423</v>
      </c>
      <c r="D14" t="s">
        <v>98</v>
      </c>
      <c r="E14" t="s">
        <v>424</v>
      </c>
      <c r="F14" t="s">
        <v>801</v>
      </c>
      <c r="G14" t="s">
        <v>426</v>
      </c>
      <c r="H14" t="s">
        <v>420</v>
      </c>
      <c r="I14" t="s">
        <v>427</v>
      </c>
      <c r="J14" t="s">
        <v>180</v>
      </c>
      <c r="K14" t="s">
        <v>44</v>
      </c>
      <c r="M14" s="28">
        <v>45953</v>
      </c>
      <c r="N14" s="28">
        <v>45953</v>
      </c>
      <c r="O14">
        <v>20</v>
      </c>
      <c r="P14" t="s">
        <v>160</v>
      </c>
      <c r="Q14" t="s">
        <v>30</v>
      </c>
      <c r="R14" t="s">
        <v>31</v>
      </c>
      <c r="S14" t="s">
        <v>766</v>
      </c>
    </row>
    <row r="15" spans="1:19" x14ac:dyDescent="0.25">
      <c r="A15" t="s">
        <v>455</v>
      </c>
      <c r="B15" t="s">
        <v>449</v>
      </c>
      <c r="C15" t="s">
        <v>456</v>
      </c>
      <c r="D15" t="s">
        <v>61</v>
      </c>
      <c r="E15" t="s">
        <v>457</v>
      </c>
      <c r="F15" t="s">
        <v>458</v>
      </c>
      <c r="G15" t="s">
        <v>459</v>
      </c>
      <c r="H15" t="s">
        <v>460</v>
      </c>
      <c r="I15" t="s">
        <v>461</v>
      </c>
      <c r="J15" t="s">
        <v>27</v>
      </c>
      <c r="K15" t="s">
        <v>44</v>
      </c>
      <c r="M15" s="28">
        <v>45954</v>
      </c>
      <c r="N15" s="28">
        <v>45954</v>
      </c>
      <c r="O15">
        <v>30</v>
      </c>
      <c r="P15" t="s">
        <v>160</v>
      </c>
      <c r="Q15" t="s">
        <v>67</v>
      </c>
      <c r="R15" t="s">
        <v>67</v>
      </c>
      <c r="S15" t="s">
        <v>768</v>
      </c>
    </row>
    <row r="16" spans="1:19" x14ac:dyDescent="0.25">
      <c r="A16" t="s">
        <v>490</v>
      </c>
      <c r="B16" t="s">
        <v>477</v>
      </c>
      <c r="C16" t="s">
        <v>491</v>
      </c>
      <c r="D16" t="s">
        <v>21</v>
      </c>
      <c r="E16" t="s">
        <v>492</v>
      </c>
      <c r="F16" t="s">
        <v>802</v>
      </c>
      <c r="G16" t="s">
        <v>803</v>
      </c>
      <c r="H16" t="s">
        <v>495</v>
      </c>
      <c r="I16" t="s">
        <v>496</v>
      </c>
      <c r="J16" t="s">
        <v>58</v>
      </c>
      <c r="K16" t="s">
        <v>44</v>
      </c>
      <c r="M16" s="28">
        <v>45952</v>
      </c>
      <c r="N16" s="28">
        <v>45952</v>
      </c>
      <c r="O16">
        <v>15</v>
      </c>
      <c r="P16" t="s">
        <v>112</v>
      </c>
      <c r="Q16" t="s">
        <v>30</v>
      </c>
      <c r="R16" t="s">
        <v>67</v>
      </c>
      <c r="S16" t="s">
        <v>767</v>
      </c>
    </row>
    <row r="17" spans="1:19" x14ac:dyDescent="0.25">
      <c r="A17" t="s">
        <v>690</v>
      </c>
      <c r="B17" t="s">
        <v>336</v>
      </c>
      <c r="C17" t="s">
        <v>691</v>
      </c>
      <c r="D17" t="s">
        <v>61</v>
      </c>
      <c r="E17" t="s">
        <v>692</v>
      </c>
      <c r="F17" t="s">
        <v>693</v>
      </c>
      <c r="G17" t="s">
        <v>694</v>
      </c>
      <c r="H17" t="s">
        <v>695</v>
      </c>
      <c r="I17" t="s">
        <v>696</v>
      </c>
      <c r="J17" t="s">
        <v>27</v>
      </c>
      <c r="K17" t="s">
        <v>44</v>
      </c>
      <c r="M17" s="28">
        <v>45955</v>
      </c>
      <c r="N17" s="28">
        <v>45955</v>
      </c>
      <c r="O17">
        <v>25</v>
      </c>
      <c r="P17" t="s">
        <v>29</v>
      </c>
      <c r="Q17" t="s">
        <v>30</v>
      </c>
      <c r="R17" t="s">
        <v>31</v>
      </c>
      <c r="S17" t="s">
        <v>766</v>
      </c>
    </row>
    <row r="18" spans="1:19" x14ac:dyDescent="0.25">
      <c r="A18" t="s">
        <v>710</v>
      </c>
      <c r="B18" t="s">
        <v>336</v>
      </c>
      <c r="C18" t="s">
        <v>711</v>
      </c>
      <c r="D18" t="s">
        <v>61</v>
      </c>
      <c r="E18" t="s">
        <v>712</v>
      </c>
      <c r="F18" t="s">
        <v>713</v>
      </c>
      <c r="G18" t="s">
        <v>714</v>
      </c>
      <c r="H18" t="s">
        <v>715</v>
      </c>
      <c r="I18" t="s">
        <v>716</v>
      </c>
      <c r="J18" t="s">
        <v>58</v>
      </c>
      <c r="K18" t="s">
        <v>44</v>
      </c>
      <c r="M18" s="28">
        <v>45955</v>
      </c>
      <c r="N18" s="28">
        <v>45955</v>
      </c>
      <c r="O18">
        <v>30</v>
      </c>
      <c r="P18" t="s">
        <v>29</v>
      </c>
      <c r="Q18" t="s">
        <v>30</v>
      </c>
      <c r="R18" t="s">
        <v>31</v>
      </c>
      <c r="S18" t="s">
        <v>766</v>
      </c>
    </row>
    <row r="19" spans="1:19" x14ac:dyDescent="0.25">
      <c r="A19" t="s">
        <v>717</v>
      </c>
      <c r="B19" t="s">
        <v>336</v>
      </c>
      <c r="C19" t="s">
        <v>718</v>
      </c>
      <c r="D19" t="s">
        <v>61</v>
      </c>
      <c r="E19" t="s">
        <v>719</v>
      </c>
      <c r="F19" t="s">
        <v>720</v>
      </c>
      <c r="G19" t="s">
        <v>721</v>
      </c>
      <c r="H19" t="s">
        <v>64</v>
      </c>
      <c r="I19" t="s">
        <v>722</v>
      </c>
      <c r="J19" t="s">
        <v>58</v>
      </c>
      <c r="K19" t="s">
        <v>44</v>
      </c>
      <c r="M19" s="28">
        <v>45956</v>
      </c>
      <c r="N19" s="28">
        <v>45956</v>
      </c>
      <c r="O19">
        <v>30</v>
      </c>
      <c r="P19" t="s">
        <v>29</v>
      </c>
      <c r="Q19" t="s">
        <v>30</v>
      </c>
      <c r="R19" t="s">
        <v>31</v>
      </c>
      <c r="S19" t="s">
        <v>766</v>
      </c>
    </row>
    <row r="20" spans="1:19" x14ac:dyDescent="0.25">
      <c r="A20" t="s">
        <v>750</v>
      </c>
      <c r="B20" t="s">
        <v>751</v>
      </c>
      <c r="C20" t="s">
        <v>752</v>
      </c>
      <c r="D20" t="s">
        <v>753</v>
      </c>
      <c r="E20" t="s">
        <v>754</v>
      </c>
      <c r="F20" t="s">
        <v>755</v>
      </c>
      <c r="G20" t="s">
        <v>756</v>
      </c>
      <c r="H20" t="s">
        <v>757</v>
      </c>
      <c r="I20" t="s">
        <v>804</v>
      </c>
      <c r="J20" t="s">
        <v>58</v>
      </c>
      <c r="K20" t="s">
        <v>44</v>
      </c>
      <c r="M20" s="28">
        <v>45956</v>
      </c>
      <c r="N20" s="28">
        <v>45956</v>
      </c>
      <c r="O20">
        <v>30</v>
      </c>
      <c r="P20" t="s">
        <v>112</v>
      </c>
      <c r="Q20" t="s">
        <v>67</v>
      </c>
      <c r="R20" t="s">
        <v>67</v>
      </c>
      <c r="S20" t="s">
        <v>768</v>
      </c>
    </row>
    <row r="21" spans="1:19" x14ac:dyDescent="0.25">
      <c r="A21" t="s">
        <v>759</v>
      </c>
      <c r="B21" t="s">
        <v>751</v>
      </c>
      <c r="C21" t="s">
        <v>760</v>
      </c>
      <c r="D21" t="s">
        <v>761</v>
      </c>
      <c r="E21" t="s">
        <v>762</v>
      </c>
      <c r="F21" t="s">
        <v>763</v>
      </c>
      <c r="G21" t="s">
        <v>756</v>
      </c>
      <c r="H21" t="s">
        <v>757</v>
      </c>
      <c r="I21" t="s">
        <v>805</v>
      </c>
      <c r="J21" t="s">
        <v>765</v>
      </c>
      <c r="K21" t="s">
        <v>44</v>
      </c>
      <c r="M21" s="28">
        <v>45956</v>
      </c>
      <c r="N21" s="28">
        <v>45956</v>
      </c>
      <c r="O21">
        <v>30</v>
      </c>
      <c r="P21" t="s">
        <v>112</v>
      </c>
      <c r="Q21" t="s">
        <v>67</v>
      </c>
      <c r="R21" t="s">
        <v>67</v>
      </c>
      <c r="S21" t="s">
        <v>767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F439-A465-4FD2-A76B-24918D47CD0E}">
  <dimension ref="B3:N22"/>
  <sheetViews>
    <sheetView topLeftCell="A8" workbookViewId="0">
      <selection activeCell="D2" sqref="D2:I24"/>
    </sheetView>
  </sheetViews>
  <sheetFormatPr baseColWidth="10" defaultRowHeight="15" x14ac:dyDescent="0.25"/>
  <cols>
    <col min="2" max="2" width="9.42578125" customWidth="1"/>
    <col min="3" max="3" width="15.5703125" customWidth="1"/>
    <col min="4" max="4" width="24.5703125" customWidth="1"/>
    <col min="5" max="5" width="27.7109375" customWidth="1"/>
    <col min="6" max="6" width="8.42578125" customWidth="1"/>
    <col min="7" max="7" width="11.140625" customWidth="1"/>
    <col min="12" max="12" width="35.28515625" customWidth="1"/>
    <col min="13" max="13" width="10.7109375" customWidth="1"/>
    <col min="14" max="14" width="35.28515625" customWidth="1"/>
  </cols>
  <sheetData>
    <row r="3" spans="2:14" x14ac:dyDescent="0.25">
      <c r="B3" s="36" t="s">
        <v>0</v>
      </c>
      <c r="C3" s="37" t="s">
        <v>810</v>
      </c>
      <c r="D3" s="37" t="s">
        <v>811</v>
      </c>
      <c r="E3" s="37" t="s">
        <v>814</v>
      </c>
      <c r="F3" s="37" t="s">
        <v>813</v>
      </c>
      <c r="G3" s="38" t="s">
        <v>812</v>
      </c>
      <c r="J3" s="45" t="s">
        <v>0</v>
      </c>
      <c r="K3" s="45" t="s">
        <v>1</v>
      </c>
      <c r="L3" s="45" t="s">
        <v>837</v>
      </c>
      <c r="M3" s="45" t="s">
        <v>813</v>
      </c>
      <c r="N3" s="45" t="s">
        <v>838</v>
      </c>
    </row>
    <row r="4" spans="2:14" ht="60" x14ac:dyDescent="0.25">
      <c r="B4" s="41" t="s">
        <v>37</v>
      </c>
      <c r="C4" s="39" t="s">
        <v>19</v>
      </c>
      <c r="D4" s="39" t="s">
        <v>38</v>
      </c>
      <c r="E4" s="39" t="s">
        <v>815</v>
      </c>
      <c r="F4" s="39" t="s">
        <v>44</v>
      </c>
      <c r="G4" s="43" t="s">
        <v>816</v>
      </c>
      <c r="J4" s="39" t="s">
        <v>76</v>
      </c>
      <c r="K4" s="39" t="s">
        <v>19</v>
      </c>
      <c r="L4" s="39" t="s">
        <v>833</v>
      </c>
      <c r="M4" s="39" t="s">
        <v>83</v>
      </c>
      <c r="N4" s="39" t="s">
        <v>839</v>
      </c>
    </row>
    <row r="5" spans="2:14" ht="60" x14ac:dyDescent="0.25">
      <c r="B5" s="41" t="s">
        <v>45</v>
      </c>
      <c r="C5" s="39" t="s">
        <v>19</v>
      </c>
      <c r="D5" s="39" t="s">
        <v>46</v>
      </c>
      <c r="E5" s="39" t="s">
        <v>817</v>
      </c>
      <c r="F5" s="39" t="s">
        <v>44</v>
      </c>
      <c r="G5" s="43" t="s">
        <v>816</v>
      </c>
      <c r="J5" s="39" t="s">
        <v>682</v>
      </c>
      <c r="K5" s="39" t="s">
        <v>336</v>
      </c>
      <c r="L5" s="39" t="s">
        <v>683</v>
      </c>
      <c r="M5" s="39" t="s">
        <v>83</v>
      </c>
      <c r="N5" s="39" t="s">
        <v>840</v>
      </c>
    </row>
    <row r="6" spans="2:14" ht="45" x14ac:dyDescent="0.25">
      <c r="B6" s="41" t="s">
        <v>45</v>
      </c>
      <c r="C6" s="39" t="s">
        <v>19</v>
      </c>
      <c r="D6" s="39" t="s">
        <v>46</v>
      </c>
      <c r="E6" s="39" t="s">
        <v>818</v>
      </c>
      <c r="F6" s="39" t="s">
        <v>44</v>
      </c>
      <c r="G6" s="43" t="s">
        <v>765</v>
      </c>
      <c r="J6" s="39" t="s">
        <v>737</v>
      </c>
      <c r="K6" s="39" t="s">
        <v>336</v>
      </c>
      <c r="L6" s="39" t="s">
        <v>738</v>
      </c>
      <c r="M6" s="39" t="s">
        <v>83</v>
      </c>
      <c r="N6" s="39" t="s">
        <v>841</v>
      </c>
    </row>
    <row r="7" spans="2:14" ht="60" x14ac:dyDescent="0.25">
      <c r="B7" s="41" t="s">
        <v>68</v>
      </c>
      <c r="C7" s="39" t="s">
        <v>19</v>
      </c>
      <c r="D7" s="39" t="s">
        <v>69</v>
      </c>
      <c r="E7" s="39" t="s">
        <v>819</v>
      </c>
      <c r="F7" s="39" t="s">
        <v>44</v>
      </c>
      <c r="G7" s="43" t="s">
        <v>27</v>
      </c>
      <c r="J7" s="39" t="s">
        <v>743</v>
      </c>
      <c r="K7" s="39" t="s">
        <v>336</v>
      </c>
      <c r="L7" s="39" t="s">
        <v>744</v>
      </c>
      <c r="M7" s="39" t="s">
        <v>83</v>
      </c>
      <c r="N7" s="39" t="s">
        <v>842</v>
      </c>
    </row>
    <row r="8" spans="2:14" ht="45" x14ac:dyDescent="0.25">
      <c r="B8" s="41" t="s">
        <v>222</v>
      </c>
      <c r="C8" s="39" t="s">
        <v>189</v>
      </c>
      <c r="D8" s="39" t="s">
        <v>223</v>
      </c>
      <c r="E8" s="39" t="s">
        <v>824</v>
      </c>
      <c r="F8" s="39" t="s">
        <v>44</v>
      </c>
      <c r="G8" s="43" t="s">
        <v>27</v>
      </c>
    </row>
    <row r="9" spans="2:14" ht="45" x14ac:dyDescent="0.25">
      <c r="B9" s="41" t="s">
        <v>320</v>
      </c>
      <c r="C9" s="39" t="s">
        <v>229</v>
      </c>
      <c r="D9" s="39" t="s">
        <v>321</v>
      </c>
      <c r="E9" s="39" t="s">
        <v>832</v>
      </c>
      <c r="F9" s="39" t="s">
        <v>44</v>
      </c>
      <c r="G9" s="43" t="s">
        <v>27</v>
      </c>
    </row>
    <row r="10" spans="2:14" ht="45" x14ac:dyDescent="0.25">
      <c r="B10" s="41" t="s">
        <v>335</v>
      </c>
      <c r="C10" s="39" t="s">
        <v>336</v>
      </c>
      <c r="D10" s="39" t="s">
        <v>337</v>
      </c>
      <c r="E10" s="39" t="s">
        <v>820</v>
      </c>
      <c r="F10" s="39" t="s">
        <v>44</v>
      </c>
      <c r="G10" s="43" t="s">
        <v>27</v>
      </c>
    </row>
    <row r="11" spans="2:14" ht="30" x14ac:dyDescent="0.25">
      <c r="B11" s="41" t="s">
        <v>343</v>
      </c>
      <c r="C11" s="39" t="s">
        <v>344</v>
      </c>
      <c r="D11" s="39" t="s">
        <v>345</v>
      </c>
      <c r="E11" s="39" t="s">
        <v>345</v>
      </c>
      <c r="F11" s="39" t="s">
        <v>44</v>
      </c>
      <c r="G11" s="43" t="s">
        <v>27</v>
      </c>
    </row>
    <row r="12" spans="2:14" ht="45" x14ac:dyDescent="0.25">
      <c r="B12" s="41" t="s">
        <v>358</v>
      </c>
      <c r="C12" s="39" t="s">
        <v>344</v>
      </c>
      <c r="D12" s="39" t="s">
        <v>359</v>
      </c>
      <c r="E12" s="39" t="s">
        <v>825</v>
      </c>
      <c r="F12" s="39" t="s">
        <v>44</v>
      </c>
      <c r="G12" s="43" t="s">
        <v>27</v>
      </c>
    </row>
    <row r="13" spans="2:14" ht="45" x14ac:dyDescent="0.25">
      <c r="B13" s="41" t="s">
        <v>364</v>
      </c>
      <c r="C13" s="39" t="s">
        <v>344</v>
      </c>
      <c r="D13" s="39" t="s">
        <v>365</v>
      </c>
      <c r="E13" s="39" t="s">
        <v>826</v>
      </c>
      <c r="F13" s="39" t="s">
        <v>44</v>
      </c>
      <c r="G13" s="43" t="s">
        <v>27</v>
      </c>
    </row>
    <row r="14" spans="2:14" ht="30" x14ac:dyDescent="0.25">
      <c r="B14" s="41" t="s">
        <v>400</v>
      </c>
      <c r="C14" s="39" t="s">
        <v>372</v>
      </c>
      <c r="D14" s="39" t="s">
        <v>401</v>
      </c>
      <c r="E14" s="39" t="s">
        <v>401</v>
      </c>
      <c r="F14" s="39" t="s">
        <v>44</v>
      </c>
      <c r="G14" s="43" t="s">
        <v>27</v>
      </c>
    </row>
    <row r="15" spans="2:14" ht="30" x14ac:dyDescent="0.25">
      <c r="B15" s="41" t="s">
        <v>422</v>
      </c>
      <c r="C15" s="39" t="s">
        <v>415</v>
      </c>
      <c r="D15" s="39" t="s">
        <v>423</v>
      </c>
      <c r="E15" s="39" t="s">
        <v>828</v>
      </c>
      <c r="F15" s="39" t="s">
        <v>44</v>
      </c>
      <c r="G15" s="43" t="s">
        <v>27</v>
      </c>
    </row>
    <row r="16" spans="2:14" ht="45" x14ac:dyDescent="0.25">
      <c r="B16" s="41" t="s">
        <v>455</v>
      </c>
      <c r="C16" s="39" t="s">
        <v>449</v>
      </c>
      <c r="D16" s="39" t="s">
        <v>456</v>
      </c>
      <c r="E16" s="39" t="s">
        <v>827</v>
      </c>
      <c r="F16" s="39" t="s">
        <v>44</v>
      </c>
      <c r="G16" s="43" t="s">
        <v>27</v>
      </c>
    </row>
    <row r="17" spans="2:7" ht="45" x14ac:dyDescent="0.25">
      <c r="B17" s="41" t="s">
        <v>490</v>
      </c>
      <c r="C17" s="39" t="s">
        <v>477</v>
      </c>
      <c r="D17" s="39" t="s">
        <v>491</v>
      </c>
      <c r="E17" s="39" t="s">
        <v>829</v>
      </c>
      <c r="F17" s="39" t="s">
        <v>44</v>
      </c>
      <c r="G17" s="43" t="s">
        <v>58</v>
      </c>
    </row>
    <row r="18" spans="2:7" ht="45" x14ac:dyDescent="0.25">
      <c r="B18" s="41" t="s">
        <v>690</v>
      </c>
      <c r="C18" s="39" t="s">
        <v>336</v>
      </c>
      <c r="D18" s="39" t="s">
        <v>691</v>
      </c>
      <c r="E18" s="39" t="s">
        <v>821</v>
      </c>
      <c r="F18" s="39" t="s">
        <v>44</v>
      </c>
      <c r="G18" s="43" t="s">
        <v>27</v>
      </c>
    </row>
    <row r="19" spans="2:7" ht="45" x14ac:dyDescent="0.25">
      <c r="B19" s="41" t="s">
        <v>710</v>
      </c>
      <c r="C19" s="39" t="s">
        <v>336</v>
      </c>
      <c r="D19" s="39" t="s">
        <v>711</v>
      </c>
      <c r="E19" s="39" t="s">
        <v>822</v>
      </c>
      <c r="F19" s="39" t="s">
        <v>44</v>
      </c>
      <c r="G19" s="43" t="s">
        <v>27</v>
      </c>
    </row>
    <row r="20" spans="2:7" ht="45" x14ac:dyDescent="0.25">
      <c r="B20" s="41" t="s">
        <v>717</v>
      </c>
      <c r="C20" s="39" t="s">
        <v>336</v>
      </c>
      <c r="D20" s="39" t="s">
        <v>718</v>
      </c>
      <c r="E20" s="39" t="s">
        <v>823</v>
      </c>
      <c r="F20" s="39" t="s">
        <v>44</v>
      </c>
      <c r="G20" s="43" t="s">
        <v>58</v>
      </c>
    </row>
    <row r="21" spans="2:7" ht="45" x14ac:dyDescent="0.25">
      <c r="B21" s="41" t="s">
        <v>750</v>
      </c>
      <c r="C21" s="39" t="s">
        <v>751</v>
      </c>
      <c r="D21" s="39" t="s">
        <v>752</v>
      </c>
      <c r="E21" s="39" t="s">
        <v>830</v>
      </c>
      <c r="F21" s="39" t="s">
        <v>44</v>
      </c>
      <c r="G21" s="43" t="s">
        <v>58</v>
      </c>
    </row>
    <row r="22" spans="2:7" ht="45" x14ac:dyDescent="0.25">
      <c r="B22" s="42" t="s">
        <v>759</v>
      </c>
      <c r="C22" s="40" t="s">
        <v>751</v>
      </c>
      <c r="D22" s="40" t="s">
        <v>760</v>
      </c>
      <c r="E22" s="40" t="s">
        <v>831</v>
      </c>
      <c r="F22" s="40" t="s">
        <v>44</v>
      </c>
      <c r="G22" s="44" t="s">
        <v>765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6329-D651-4C6D-B094-4DC3FFD0DA15}">
  <dimension ref="A1:S7"/>
  <sheetViews>
    <sheetView workbookViewId="0">
      <selection activeCell="D2" sqref="D2:I24"/>
    </sheetView>
  </sheetViews>
  <sheetFormatPr baseColWidth="10" defaultRowHeight="15" x14ac:dyDescent="0.25"/>
  <cols>
    <col min="1" max="1" width="18.5703125" bestFit="1" customWidth="1"/>
    <col min="2" max="2" width="18.7109375" bestFit="1" customWidth="1"/>
    <col min="3" max="3" width="72.7109375" bestFit="1" customWidth="1"/>
    <col min="4" max="4" width="24" bestFit="1" customWidth="1"/>
    <col min="5" max="6" width="81.140625" bestFit="1" customWidth="1"/>
    <col min="7" max="7" width="81" bestFit="1" customWidth="1"/>
    <col min="8" max="8" width="63.7109375" bestFit="1" customWidth="1"/>
    <col min="9" max="9" width="81.140625" bestFit="1" customWidth="1"/>
    <col min="10" max="10" width="26.7109375" bestFit="1" customWidth="1"/>
    <col min="11" max="11" width="16.5703125" bestFit="1" customWidth="1"/>
    <col min="12" max="12" width="20.28515625" bestFit="1" customWidth="1"/>
    <col min="13" max="13" width="28.140625" bestFit="1" customWidth="1"/>
    <col min="14" max="14" width="34" bestFit="1" customWidth="1"/>
    <col min="15" max="15" width="37.85546875" bestFit="1" customWidth="1"/>
    <col min="16" max="16" width="16.140625" bestFit="1" customWidth="1"/>
    <col min="17" max="17" width="23.5703125" bestFit="1" customWidth="1"/>
    <col min="18" max="18" width="34.7109375" bestFit="1" customWidth="1"/>
    <col min="19" max="19" width="29.5703125" bestFit="1" customWidth="1"/>
  </cols>
  <sheetData>
    <row r="1" spans="1:19" x14ac:dyDescent="0.25">
      <c r="A1" s="29" t="s">
        <v>836</v>
      </c>
    </row>
    <row r="3" spans="1:19" x14ac:dyDescent="0.25">
      <c r="A3" t="s">
        <v>774</v>
      </c>
      <c r="B3" t="s">
        <v>775</v>
      </c>
      <c r="C3" t="s">
        <v>776</v>
      </c>
      <c r="D3" t="s">
        <v>777</v>
      </c>
      <c r="E3" t="s">
        <v>778</v>
      </c>
      <c r="F3" t="s">
        <v>779</v>
      </c>
      <c r="G3" t="s">
        <v>780</v>
      </c>
      <c r="H3" t="s">
        <v>781</v>
      </c>
      <c r="I3" t="s">
        <v>782</v>
      </c>
      <c r="J3" t="s">
        <v>783</v>
      </c>
      <c r="K3" t="s">
        <v>784</v>
      </c>
      <c r="L3" t="s">
        <v>785</v>
      </c>
      <c r="M3" t="s">
        <v>786</v>
      </c>
      <c r="N3" t="s">
        <v>787</v>
      </c>
      <c r="O3" t="s">
        <v>788</v>
      </c>
      <c r="P3" t="s">
        <v>789</v>
      </c>
      <c r="Q3" t="s">
        <v>790</v>
      </c>
      <c r="R3" t="s">
        <v>791</v>
      </c>
      <c r="S3" t="s">
        <v>792</v>
      </c>
    </row>
    <row r="4" spans="1:19" x14ac:dyDescent="0.25">
      <c r="A4" t="s">
        <v>76</v>
      </c>
      <c r="B4" t="s">
        <v>19</v>
      </c>
      <c r="C4" t="s">
        <v>833</v>
      </c>
      <c r="D4" t="s">
        <v>61</v>
      </c>
      <c r="E4" t="s">
        <v>78</v>
      </c>
      <c r="F4" t="s">
        <v>79</v>
      </c>
      <c r="G4" t="s">
        <v>80</v>
      </c>
      <c r="H4" t="s">
        <v>81</v>
      </c>
      <c r="I4" t="s">
        <v>82</v>
      </c>
      <c r="J4" t="s">
        <v>27</v>
      </c>
      <c r="K4" t="s">
        <v>83</v>
      </c>
      <c r="M4" s="28"/>
      <c r="N4" s="28"/>
      <c r="P4" t="s">
        <v>29</v>
      </c>
      <c r="Q4" t="s">
        <v>67</v>
      </c>
      <c r="R4" t="s">
        <v>67</v>
      </c>
      <c r="S4" t="s">
        <v>768</v>
      </c>
    </row>
    <row r="5" spans="1:19" x14ac:dyDescent="0.25">
      <c r="A5" t="s">
        <v>682</v>
      </c>
      <c r="B5" t="s">
        <v>336</v>
      </c>
      <c r="C5" t="s">
        <v>683</v>
      </c>
      <c r="D5" t="s">
        <v>61</v>
      </c>
      <c r="E5" t="s">
        <v>684</v>
      </c>
      <c r="F5" t="s">
        <v>685</v>
      </c>
      <c r="G5" t="s">
        <v>686</v>
      </c>
      <c r="H5" t="s">
        <v>687</v>
      </c>
      <c r="I5" t="s">
        <v>688</v>
      </c>
      <c r="J5" t="s">
        <v>27</v>
      </c>
      <c r="K5" t="s">
        <v>83</v>
      </c>
      <c r="M5" s="28"/>
      <c r="N5" s="28"/>
      <c r="P5" t="s">
        <v>29</v>
      </c>
      <c r="Q5" t="s">
        <v>689</v>
      </c>
      <c r="R5" t="s">
        <v>67</v>
      </c>
      <c r="S5" t="s">
        <v>768</v>
      </c>
    </row>
    <row r="6" spans="1:19" x14ac:dyDescent="0.25">
      <c r="A6" t="s">
        <v>737</v>
      </c>
      <c r="B6" t="s">
        <v>336</v>
      </c>
      <c r="C6" t="s">
        <v>738</v>
      </c>
      <c r="D6" t="s">
        <v>61</v>
      </c>
      <c r="E6" t="s">
        <v>739</v>
      </c>
      <c r="F6" t="s">
        <v>740</v>
      </c>
      <c r="G6" t="s">
        <v>741</v>
      </c>
      <c r="H6" t="s">
        <v>735</v>
      </c>
      <c r="I6" t="s">
        <v>834</v>
      </c>
      <c r="J6" t="s">
        <v>180</v>
      </c>
      <c r="K6" t="s">
        <v>83</v>
      </c>
      <c r="M6" s="28">
        <v>45956</v>
      </c>
      <c r="N6" s="28">
        <v>45956</v>
      </c>
      <c r="O6">
        <v>40</v>
      </c>
      <c r="P6" t="s">
        <v>29</v>
      </c>
      <c r="Q6" t="s">
        <v>689</v>
      </c>
      <c r="R6" t="s">
        <v>67</v>
      </c>
      <c r="S6" t="s">
        <v>768</v>
      </c>
    </row>
    <row r="7" spans="1:19" x14ac:dyDescent="0.25">
      <c r="A7" t="s">
        <v>743</v>
      </c>
      <c r="B7" t="s">
        <v>336</v>
      </c>
      <c r="C7" t="s">
        <v>744</v>
      </c>
      <c r="D7" t="s">
        <v>61</v>
      </c>
      <c r="E7" t="s">
        <v>745</v>
      </c>
      <c r="F7" t="s">
        <v>746</v>
      </c>
      <c r="G7" t="s">
        <v>747</v>
      </c>
      <c r="H7" t="s">
        <v>728</v>
      </c>
      <c r="I7" t="s">
        <v>835</v>
      </c>
      <c r="J7" t="s">
        <v>27</v>
      </c>
      <c r="K7" t="s">
        <v>83</v>
      </c>
      <c r="M7" s="28"/>
      <c r="N7" s="28"/>
      <c r="P7" t="s">
        <v>29</v>
      </c>
      <c r="Q7" t="s">
        <v>67</v>
      </c>
      <c r="R7" t="s">
        <v>67</v>
      </c>
      <c r="S7" t="s">
        <v>768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8D33-F7DE-4869-AA82-AF2B6A2F7391}">
  <dimension ref="A3:F25"/>
  <sheetViews>
    <sheetView workbookViewId="0">
      <selection activeCell="D2" sqref="D2:I24"/>
    </sheetView>
  </sheetViews>
  <sheetFormatPr baseColWidth="10" defaultRowHeight="15" x14ac:dyDescent="0.25"/>
  <cols>
    <col min="1" max="1" width="25.28515625" bestFit="1" customWidth="1"/>
    <col min="2" max="2" width="22.85546875" bestFit="1" customWidth="1"/>
    <col min="3" max="3" width="9.85546875" bestFit="1" customWidth="1"/>
    <col min="4" max="4" width="7.5703125" bestFit="1" customWidth="1"/>
    <col min="5" max="5" width="6.85546875" bestFit="1" customWidth="1"/>
    <col min="6" max="6" width="12.5703125" bestFit="1" customWidth="1"/>
  </cols>
  <sheetData>
    <row r="3" spans="1:6" x14ac:dyDescent="0.25">
      <c r="A3" s="26" t="s">
        <v>773</v>
      </c>
      <c r="B3" s="26" t="s">
        <v>772</v>
      </c>
    </row>
    <row r="4" spans="1:6" x14ac:dyDescent="0.25">
      <c r="A4" s="26" t="s">
        <v>770</v>
      </c>
      <c r="B4" t="s">
        <v>83</v>
      </c>
      <c r="C4" t="s">
        <v>334</v>
      </c>
      <c r="D4" t="s">
        <v>28</v>
      </c>
      <c r="E4" t="s">
        <v>44</v>
      </c>
      <c r="F4" t="s">
        <v>771</v>
      </c>
    </row>
    <row r="5" spans="1:6" x14ac:dyDescent="0.25">
      <c r="A5" s="27" t="s">
        <v>580</v>
      </c>
      <c r="D5">
        <v>3</v>
      </c>
      <c r="F5">
        <v>3</v>
      </c>
    </row>
    <row r="6" spans="1:6" x14ac:dyDescent="0.25">
      <c r="A6" s="27" t="s">
        <v>533</v>
      </c>
      <c r="D6">
        <v>5</v>
      </c>
      <c r="F6">
        <v>5</v>
      </c>
    </row>
    <row r="7" spans="1:6" x14ac:dyDescent="0.25">
      <c r="A7" s="27" t="s">
        <v>154</v>
      </c>
      <c r="D7">
        <v>5</v>
      </c>
      <c r="F7">
        <v>5</v>
      </c>
    </row>
    <row r="8" spans="1:6" x14ac:dyDescent="0.25">
      <c r="A8" s="27" t="s">
        <v>105</v>
      </c>
      <c r="D8">
        <v>7</v>
      </c>
      <c r="F8">
        <v>7</v>
      </c>
    </row>
    <row r="9" spans="1:6" x14ac:dyDescent="0.25">
      <c r="A9" s="27" t="s">
        <v>477</v>
      </c>
      <c r="D9">
        <v>2</v>
      </c>
      <c r="E9">
        <v>1</v>
      </c>
      <c r="F9">
        <v>3</v>
      </c>
    </row>
    <row r="10" spans="1:6" x14ac:dyDescent="0.25">
      <c r="A10" s="27" t="s">
        <v>449</v>
      </c>
      <c r="D10">
        <v>1</v>
      </c>
      <c r="E10">
        <v>1</v>
      </c>
      <c r="F10">
        <v>2</v>
      </c>
    </row>
    <row r="11" spans="1:6" x14ac:dyDescent="0.25">
      <c r="A11" s="27" t="s">
        <v>372</v>
      </c>
      <c r="D11">
        <v>5</v>
      </c>
      <c r="E11">
        <v>1</v>
      </c>
      <c r="F11">
        <v>6</v>
      </c>
    </row>
    <row r="12" spans="1:6" x14ac:dyDescent="0.25">
      <c r="A12" s="27" t="s">
        <v>229</v>
      </c>
      <c r="C12">
        <v>1</v>
      </c>
      <c r="D12">
        <v>13</v>
      </c>
      <c r="E12">
        <v>1</v>
      </c>
      <c r="F12">
        <v>15</v>
      </c>
    </row>
    <row r="13" spans="1:6" x14ac:dyDescent="0.25">
      <c r="A13" s="27" t="s">
        <v>564</v>
      </c>
      <c r="D13">
        <v>2</v>
      </c>
      <c r="F13">
        <v>2</v>
      </c>
    </row>
    <row r="14" spans="1:6" x14ac:dyDescent="0.25">
      <c r="A14" s="27" t="s">
        <v>189</v>
      </c>
      <c r="D14">
        <v>5</v>
      </c>
      <c r="E14">
        <v>1</v>
      </c>
      <c r="F14">
        <v>6</v>
      </c>
    </row>
    <row r="15" spans="1:6" x14ac:dyDescent="0.25">
      <c r="A15" s="27" t="s">
        <v>415</v>
      </c>
      <c r="D15">
        <v>4</v>
      </c>
      <c r="E15">
        <v>1</v>
      </c>
      <c r="F15">
        <v>5</v>
      </c>
    </row>
    <row r="16" spans="1:6" x14ac:dyDescent="0.25">
      <c r="A16" s="27" t="s">
        <v>602</v>
      </c>
      <c r="D16">
        <v>5</v>
      </c>
      <c r="F16">
        <v>5</v>
      </c>
    </row>
    <row r="17" spans="1:6" x14ac:dyDescent="0.25">
      <c r="A17" s="27" t="s">
        <v>513</v>
      </c>
      <c r="D17">
        <v>3</v>
      </c>
      <c r="F17">
        <v>3</v>
      </c>
    </row>
    <row r="18" spans="1:6" x14ac:dyDescent="0.25">
      <c r="A18" s="27" t="s">
        <v>498</v>
      </c>
      <c r="D18">
        <v>2</v>
      </c>
      <c r="F18">
        <v>2</v>
      </c>
    </row>
    <row r="19" spans="1:6" x14ac:dyDescent="0.25">
      <c r="A19" s="27" t="s">
        <v>344</v>
      </c>
      <c r="D19">
        <v>1</v>
      </c>
      <c r="E19">
        <v>3</v>
      </c>
      <c r="F19">
        <v>4</v>
      </c>
    </row>
    <row r="20" spans="1:6" x14ac:dyDescent="0.25">
      <c r="A20" s="27" t="s">
        <v>637</v>
      </c>
      <c r="D20">
        <v>7</v>
      </c>
      <c r="F20">
        <v>7</v>
      </c>
    </row>
    <row r="21" spans="1:6" x14ac:dyDescent="0.25">
      <c r="A21" s="27" t="s">
        <v>336</v>
      </c>
      <c r="B21">
        <v>3</v>
      </c>
      <c r="D21">
        <v>4</v>
      </c>
      <c r="E21">
        <v>4</v>
      </c>
      <c r="F21">
        <v>11</v>
      </c>
    </row>
    <row r="22" spans="1:6" x14ac:dyDescent="0.25">
      <c r="A22" s="27" t="s">
        <v>463</v>
      </c>
      <c r="D22">
        <v>2</v>
      </c>
      <c r="F22">
        <v>2</v>
      </c>
    </row>
    <row r="23" spans="1:6" x14ac:dyDescent="0.25">
      <c r="A23" s="27" t="s">
        <v>751</v>
      </c>
      <c r="E23">
        <v>2</v>
      </c>
      <c r="F23">
        <v>2</v>
      </c>
    </row>
    <row r="24" spans="1:6" x14ac:dyDescent="0.25">
      <c r="A24" s="27" t="s">
        <v>19</v>
      </c>
      <c r="B24">
        <v>1</v>
      </c>
      <c r="D24">
        <v>7</v>
      </c>
      <c r="E24">
        <v>3</v>
      </c>
      <c r="F24">
        <v>11</v>
      </c>
    </row>
    <row r="25" spans="1:6" x14ac:dyDescent="0.25">
      <c r="A25" s="27" t="s">
        <v>771</v>
      </c>
      <c r="B25">
        <v>4</v>
      </c>
      <c r="C25">
        <v>1</v>
      </c>
      <c r="D25">
        <v>83</v>
      </c>
      <c r="E25">
        <v>18</v>
      </c>
      <c r="F25">
        <v>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A86D-3643-45C6-A69F-3239A754887A}">
  <dimension ref="D2:I24"/>
  <sheetViews>
    <sheetView topLeftCell="A3" workbookViewId="0">
      <selection activeCell="D2" sqref="D2:I24"/>
    </sheetView>
  </sheetViews>
  <sheetFormatPr baseColWidth="10" defaultRowHeight="15" x14ac:dyDescent="0.25"/>
  <cols>
    <col min="4" max="4" width="34.140625" bestFit="1" customWidth="1"/>
    <col min="6" max="6" width="12.140625" bestFit="1" customWidth="1"/>
  </cols>
  <sheetData>
    <row r="2" spans="4:9" ht="15.75" x14ac:dyDescent="0.25">
      <c r="D2" s="77" t="s">
        <v>807</v>
      </c>
      <c r="E2" s="72" t="s">
        <v>808</v>
      </c>
      <c r="F2" s="73"/>
      <c r="G2" s="73"/>
      <c r="H2" s="74"/>
      <c r="I2" s="75" t="s">
        <v>809</v>
      </c>
    </row>
    <row r="3" spans="4:9" ht="15.75" x14ac:dyDescent="0.25">
      <c r="D3" s="78"/>
      <c r="E3" s="30" t="s">
        <v>83</v>
      </c>
      <c r="F3" s="30" t="s">
        <v>334</v>
      </c>
      <c r="G3" s="30" t="s">
        <v>28</v>
      </c>
      <c r="H3" s="30" t="s">
        <v>44</v>
      </c>
      <c r="I3" s="76"/>
    </row>
    <row r="4" spans="4:9" ht="15.75" x14ac:dyDescent="0.25">
      <c r="D4" s="31" t="s">
        <v>580</v>
      </c>
      <c r="E4" s="33">
        <v>0</v>
      </c>
      <c r="F4" s="33">
        <v>0</v>
      </c>
      <c r="G4" s="33">
        <v>3</v>
      </c>
      <c r="H4" s="33">
        <v>0</v>
      </c>
      <c r="I4" s="33">
        <v>3</v>
      </c>
    </row>
    <row r="5" spans="4:9" ht="15.75" x14ac:dyDescent="0.25">
      <c r="D5" s="31" t="s">
        <v>533</v>
      </c>
      <c r="E5" s="33">
        <v>0</v>
      </c>
      <c r="F5" s="33">
        <v>0</v>
      </c>
      <c r="G5" s="33">
        <v>5</v>
      </c>
      <c r="H5" s="33">
        <v>0</v>
      </c>
      <c r="I5" s="33">
        <v>5</v>
      </c>
    </row>
    <row r="6" spans="4:9" ht="15.75" x14ac:dyDescent="0.25">
      <c r="D6" s="31" t="s">
        <v>154</v>
      </c>
      <c r="E6" s="33">
        <v>0</v>
      </c>
      <c r="F6" s="33">
        <v>0</v>
      </c>
      <c r="G6" s="33">
        <v>5</v>
      </c>
      <c r="H6" s="33">
        <v>0</v>
      </c>
      <c r="I6" s="33">
        <v>5</v>
      </c>
    </row>
    <row r="7" spans="4:9" ht="15.75" x14ac:dyDescent="0.25">
      <c r="D7" s="31" t="s">
        <v>105</v>
      </c>
      <c r="E7" s="33">
        <v>0</v>
      </c>
      <c r="F7" s="33">
        <v>0</v>
      </c>
      <c r="G7" s="33">
        <v>7</v>
      </c>
      <c r="H7" s="33">
        <v>0</v>
      </c>
      <c r="I7" s="33">
        <v>7</v>
      </c>
    </row>
    <row r="8" spans="4:9" ht="15.75" x14ac:dyDescent="0.25">
      <c r="D8" s="31" t="s">
        <v>477</v>
      </c>
      <c r="E8" s="33">
        <v>0</v>
      </c>
      <c r="F8" s="33">
        <v>0</v>
      </c>
      <c r="G8" s="33">
        <v>2</v>
      </c>
      <c r="H8" s="35">
        <v>1</v>
      </c>
      <c r="I8" s="33">
        <v>3</v>
      </c>
    </row>
    <row r="9" spans="4:9" ht="15.75" x14ac:dyDescent="0.25">
      <c r="D9" s="31" t="s">
        <v>449</v>
      </c>
      <c r="E9" s="33">
        <v>0</v>
      </c>
      <c r="F9" s="33">
        <v>0</v>
      </c>
      <c r="G9" s="33">
        <v>1</v>
      </c>
      <c r="H9" s="35">
        <v>1</v>
      </c>
      <c r="I9" s="33">
        <v>2</v>
      </c>
    </row>
    <row r="10" spans="4:9" ht="15.75" x14ac:dyDescent="0.25">
      <c r="D10" s="31" t="s">
        <v>372</v>
      </c>
      <c r="E10" s="33">
        <v>0</v>
      </c>
      <c r="F10" s="33">
        <v>0</v>
      </c>
      <c r="G10" s="33">
        <v>5</v>
      </c>
      <c r="H10" s="35">
        <v>1</v>
      </c>
      <c r="I10" s="33">
        <v>6</v>
      </c>
    </row>
    <row r="11" spans="4:9" ht="15.75" x14ac:dyDescent="0.25">
      <c r="D11" s="31" t="s">
        <v>229</v>
      </c>
      <c r="E11" s="33">
        <v>0</v>
      </c>
      <c r="F11" s="33">
        <v>0</v>
      </c>
      <c r="G11" s="33">
        <v>14</v>
      </c>
      <c r="H11" s="35">
        <v>1</v>
      </c>
      <c r="I11" s="33">
        <v>15</v>
      </c>
    </row>
    <row r="12" spans="4:9" ht="15.75" x14ac:dyDescent="0.25">
      <c r="D12" s="31" t="s">
        <v>564</v>
      </c>
      <c r="E12" s="33">
        <v>0</v>
      </c>
      <c r="F12" s="33">
        <v>0</v>
      </c>
      <c r="G12" s="33">
        <v>2</v>
      </c>
      <c r="H12" s="33">
        <v>0</v>
      </c>
      <c r="I12" s="33">
        <v>2</v>
      </c>
    </row>
    <row r="13" spans="4:9" ht="15.75" x14ac:dyDescent="0.25">
      <c r="D13" s="31" t="s">
        <v>189</v>
      </c>
      <c r="E13" s="33">
        <v>0</v>
      </c>
      <c r="F13" s="33">
        <v>0</v>
      </c>
      <c r="G13" s="33">
        <v>5</v>
      </c>
      <c r="H13" s="35">
        <v>1</v>
      </c>
      <c r="I13" s="33">
        <v>6</v>
      </c>
    </row>
    <row r="14" spans="4:9" ht="15.75" x14ac:dyDescent="0.25">
      <c r="D14" s="31" t="s">
        <v>415</v>
      </c>
      <c r="E14" s="33">
        <v>0</v>
      </c>
      <c r="F14" s="33">
        <v>0</v>
      </c>
      <c r="G14" s="33">
        <v>4</v>
      </c>
      <c r="H14" s="35">
        <v>1</v>
      </c>
      <c r="I14" s="33">
        <v>5</v>
      </c>
    </row>
    <row r="15" spans="4:9" ht="15.75" x14ac:dyDescent="0.25">
      <c r="D15" s="31" t="s">
        <v>602</v>
      </c>
      <c r="E15" s="33">
        <v>0</v>
      </c>
      <c r="F15" s="33">
        <v>0</v>
      </c>
      <c r="G15" s="33">
        <v>5</v>
      </c>
      <c r="H15" s="33">
        <v>0</v>
      </c>
      <c r="I15" s="33">
        <v>5</v>
      </c>
    </row>
    <row r="16" spans="4:9" ht="15.75" x14ac:dyDescent="0.25">
      <c r="D16" s="31" t="s">
        <v>513</v>
      </c>
      <c r="E16" s="33">
        <v>0</v>
      </c>
      <c r="F16" s="33">
        <v>0</v>
      </c>
      <c r="G16" s="33">
        <v>3</v>
      </c>
      <c r="H16" s="33">
        <v>0</v>
      </c>
      <c r="I16" s="33">
        <v>3</v>
      </c>
    </row>
    <row r="17" spans="4:9" ht="15.75" x14ac:dyDescent="0.25">
      <c r="D17" s="31" t="s">
        <v>498</v>
      </c>
      <c r="E17" s="33">
        <v>0</v>
      </c>
      <c r="F17" s="33">
        <v>0</v>
      </c>
      <c r="G17" s="33">
        <v>2</v>
      </c>
      <c r="H17" s="33">
        <v>0</v>
      </c>
      <c r="I17" s="33">
        <v>2</v>
      </c>
    </row>
    <row r="18" spans="4:9" ht="15.75" x14ac:dyDescent="0.25">
      <c r="D18" s="31" t="s">
        <v>344</v>
      </c>
      <c r="E18" s="33">
        <v>0</v>
      </c>
      <c r="F18" s="33">
        <v>0</v>
      </c>
      <c r="G18" s="33">
        <v>1</v>
      </c>
      <c r="H18" s="35">
        <v>3</v>
      </c>
      <c r="I18" s="33">
        <v>4</v>
      </c>
    </row>
    <row r="19" spans="4:9" ht="15.75" x14ac:dyDescent="0.25">
      <c r="D19" s="31" t="s">
        <v>637</v>
      </c>
      <c r="E19" s="33">
        <v>0</v>
      </c>
      <c r="F19" s="33">
        <v>0</v>
      </c>
      <c r="G19" s="33">
        <v>7</v>
      </c>
      <c r="H19" s="33">
        <v>0</v>
      </c>
      <c r="I19" s="33">
        <v>7</v>
      </c>
    </row>
    <row r="20" spans="4:9" ht="15.75" x14ac:dyDescent="0.25">
      <c r="D20" s="31" t="s">
        <v>336</v>
      </c>
      <c r="E20" s="33">
        <v>3</v>
      </c>
      <c r="F20" s="33">
        <v>0</v>
      </c>
      <c r="G20" s="33">
        <v>4</v>
      </c>
      <c r="H20" s="35">
        <v>4</v>
      </c>
      <c r="I20" s="33">
        <v>11</v>
      </c>
    </row>
    <row r="21" spans="4:9" ht="15.75" x14ac:dyDescent="0.25">
      <c r="D21" s="31" t="s">
        <v>463</v>
      </c>
      <c r="E21" s="33">
        <v>0</v>
      </c>
      <c r="F21" s="33">
        <v>0</v>
      </c>
      <c r="G21" s="33">
        <v>2</v>
      </c>
      <c r="H21" s="33">
        <v>0</v>
      </c>
      <c r="I21" s="33">
        <v>2</v>
      </c>
    </row>
    <row r="22" spans="4:9" ht="15.75" x14ac:dyDescent="0.25">
      <c r="D22" s="31" t="s">
        <v>751</v>
      </c>
      <c r="E22" s="33">
        <v>0</v>
      </c>
      <c r="F22" s="33">
        <v>0</v>
      </c>
      <c r="G22" s="33">
        <v>0</v>
      </c>
      <c r="H22" s="35">
        <v>2</v>
      </c>
      <c r="I22" s="33">
        <v>2</v>
      </c>
    </row>
    <row r="23" spans="4:9" ht="15.75" x14ac:dyDescent="0.25">
      <c r="D23" s="31" t="s">
        <v>19</v>
      </c>
      <c r="E23" s="33">
        <v>1</v>
      </c>
      <c r="F23" s="33">
        <v>0</v>
      </c>
      <c r="G23" s="33">
        <v>7</v>
      </c>
      <c r="H23" s="35">
        <v>3</v>
      </c>
      <c r="I23" s="33">
        <v>11</v>
      </c>
    </row>
    <row r="24" spans="4:9" ht="15.75" x14ac:dyDescent="0.25">
      <c r="D24" s="32" t="s">
        <v>771</v>
      </c>
      <c r="E24" s="34">
        <v>4</v>
      </c>
      <c r="F24" s="34">
        <v>1</v>
      </c>
      <c r="G24" s="34">
        <v>83</v>
      </c>
      <c r="H24" s="34">
        <v>18</v>
      </c>
      <c r="I24" s="34">
        <v>106</v>
      </c>
    </row>
  </sheetData>
  <mergeCells count="3">
    <mergeCell ref="E2:H2"/>
    <mergeCell ref="I2:I3"/>
    <mergeCell ref="D2:D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ACA8-8F93-40C6-AC53-075600BB893C}">
  <dimension ref="A3:H16"/>
  <sheetViews>
    <sheetView workbookViewId="0">
      <selection activeCell="D2" sqref="D2:I24"/>
    </sheetView>
  </sheetViews>
  <sheetFormatPr baseColWidth="10" defaultRowHeight="15" x14ac:dyDescent="0.25"/>
  <cols>
    <col min="1" max="1" width="27.140625" bestFit="1" customWidth="1"/>
    <col min="2" max="2" width="22.85546875" bestFit="1" customWidth="1"/>
    <col min="3" max="3" width="7.5703125" bestFit="1" customWidth="1"/>
    <col min="4" max="4" width="12.5703125" bestFit="1" customWidth="1"/>
    <col min="5" max="5" width="6.85546875" bestFit="1" customWidth="1"/>
    <col min="6" max="6" width="12.5703125" bestFit="1" customWidth="1"/>
  </cols>
  <sheetData>
    <row r="3" spans="1:8" x14ac:dyDescent="0.25">
      <c r="A3" s="26" t="s">
        <v>843</v>
      </c>
      <c r="B3" s="26" t="s">
        <v>772</v>
      </c>
    </row>
    <row r="4" spans="1:8" x14ac:dyDescent="0.25">
      <c r="A4" s="26" t="s">
        <v>770</v>
      </c>
      <c r="B4" t="s">
        <v>334</v>
      </c>
      <c r="C4" t="s">
        <v>28</v>
      </c>
      <c r="D4" t="s">
        <v>771</v>
      </c>
    </row>
    <row r="5" spans="1:8" x14ac:dyDescent="0.25">
      <c r="A5" s="27" t="s">
        <v>27</v>
      </c>
      <c r="C5">
        <v>55</v>
      </c>
      <c r="D5">
        <v>55</v>
      </c>
    </row>
    <row r="6" spans="1:8" x14ac:dyDescent="0.25">
      <c r="A6" s="27" t="s">
        <v>180</v>
      </c>
      <c r="B6">
        <v>1</v>
      </c>
      <c r="C6">
        <v>11</v>
      </c>
      <c r="D6">
        <v>12</v>
      </c>
    </row>
    <row r="7" spans="1:8" x14ac:dyDescent="0.25">
      <c r="A7" s="27" t="s">
        <v>58</v>
      </c>
      <c r="C7">
        <v>17</v>
      </c>
      <c r="D7">
        <v>17</v>
      </c>
    </row>
    <row r="8" spans="1:8" x14ac:dyDescent="0.25">
      <c r="A8" s="27" t="s">
        <v>771</v>
      </c>
      <c r="B8">
        <v>1</v>
      </c>
      <c r="C8">
        <v>83</v>
      </c>
      <c r="D8">
        <v>84</v>
      </c>
    </row>
    <row r="12" spans="1:8" x14ac:dyDescent="0.25">
      <c r="G12" t="s">
        <v>844</v>
      </c>
      <c r="H12" s="46">
        <f>(84)/(106*100%)</f>
        <v>0.79245283018867929</v>
      </c>
    </row>
    <row r="13" spans="1:8" x14ac:dyDescent="0.25">
      <c r="C13" t="s">
        <v>816</v>
      </c>
      <c r="D13" s="47">
        <f>(2/18)*100%</f>
        <v>0.1111111111111111</v>
      </c>
    </row>
    <row r="14" spans="1:8" x14ac:dyDescent="0.25">
      <c r="C14" t="s">
        <v>765</v>
      </c>
      <c r="D14" s="47">
        <f>(1/18)*100%</f>
        <v>5.5555555555555552E-2</v>
      </c>
    </row>
    <row r="15" spans="1:8" x14ac:dyDescent="0.25">
      <c r="C15" t="s">
        <v>27</v>
      </c>
      <c r="D15" s="47">
        <f>(11/18)*100%</f>
        <v>0.61111111111111116</v>
      </c>
    </row>
    <row r="16" spans="1:8" x14ac:dyDescent="0.25">
      <c r="C16" t="s">
        <v>58</v>
      </c>
      <c r="D16" s="47">
        <f>(4/18)*100%</f>
        <v>0.22222222222222221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2E8F-B599-4F74-9A9F-E857ABC8C7D2}">
  <dimension ref="A1:S107"/>
  <sheetViews>
    <sheetView tabSelected="1" zoomScaleNormal="100" workbookViewId="0">
      <pane ySplit="1" topLeftCell="A7" activePane="bottomLeft" state="frozen"/>
      <selection pane="bottomLeft" activeCell="E7" sqref="E7"/>
    </sheetView>
  </sheetViews>
  <sheetFormatPr baseColWidth="10" defaultColWidth="11.5703125" defaultRowHeight="14.25" customHeight="1" x14ac:dyDescent="0.2"/>
  <cols>
    <col min="1" max="1" width="13" style="7" customWidth="1"/>
    <col min="2" max="2" width="20.85546875" style="25" customWidth="1"/>
    <col min="3" max="3" width="40.5703125" style="25" customWidth="1"/>
    <col min="4" max="4" width="19.7109375" style="25" customWidth="1"/>
    <col min="5" max="5" width="51" style="25" customWidth="1"/>
    <col min="6" max="6" width="93" style="25" customWidth="1"/>
    <col min="7" max="7" width="35.28515625" style="25" customWidth="1"/>
    <col min="8" max="8" width="50.7109375" style="25" customWidth="1"/>
    <col min="9" max="9" width="49.85546875" style="25" customWidth="1"/>
    <col min="10" max="10" width="26.5703125" style="25" customWidth="1"/>
    <col min="11" max="11" width="14" style="25" customWidth="1"/>
    <col min="12" max="12" width="15" style="25" customWidth="1"/>
    <col min="13" max="14" width="13.5703125" style="25" customWidth="1"/>
    <col min="15" max="15" width="15.7109375" style="25" customWidth="1"/>
    <col min="16" max="16" width="13" style="25" customWidth="1"/>
    <col min="17" max="18" width="11.5703125" style="25" customWidth="1"/>
    <col min="19" max="16384" width="11.5703125" style="7"/>
  </cols>
  <sheetData>
    <row r="1" spans="1:19" ht="63.75" thickBot="1" x14ac:dyDescent="0.25">
      <c r="A1" s="1" t="s">
        <v>0</v>
      </c>
      <c r="B1" s="2" t="s">
        <v>1</v>
      </c>
      <c r="C1" s="3" t="s">
        <v>2</v>
      </c>
      <c r="D1" s="3" t="s">
        <v>3</v>
      </c>
      <c r="E1" s="3" t="s">
        <v>4</v>
      </c>
      <c r="F1" s="3" t="s">
        <v>5</v>
      </c>
      <c r="G1" s="3" t="s">
        <v>6</v>
      </c>
      <c r="H1" s="3" t="s">
        <v>7</v>
      </c>
      <c r="I1" s="3" t="s">
        <v>8</v>
      </c>
      <c r="J1" s="3" t="s">
        <v>9</v>
      </c>
      <c r="K1" s="3" t="s">
        <v>10</v>
      </c>
      <c r="L1" s="3" t="s">
        <v>11</v>
      </c>
      <c r="M1" s="4" t="s">
        <v>12</v>
      </c>
      <c r="N1" s="5" t="s">
        <v>13</v>
      </c>
      <c r="O1" s="5" t="s">
        <v>14</v>
      </c>
      <c r="P1" s="6" t="s">
        <v>15</v>
      </c>
      <c r="Q1" s="6" t="s">
        <v>16</v>
      </c>
      <c r="R1" s="6" t="s">
        <v>17</v>
      </c>
      <c r="S1" s="6" t="s">
        <v>968</v>
      </c>
    </row>
    <row r="2" spans="1:19" ht="393.75" customHeight="1" x14ac:dyDescent="0.2">
      <c r="A2" s="8" t="s">
        <v>18</v>
      </c>
      <c r="B2" s="9" t="s">
        <v>19</v>
      </c>
      <c r="C2" s="19" t="s">
        <v>20</v>
      </c>
      <c r="D2" s="9" t="s">
        <v>21</v>
      </c>
      <c r="E2" s="10" t="s">
        <v>22</v>
      </c>
      <c r="F2" s="10" t="s">
        <v>23</v>
      </c>
      <c r="G2" s="11" t="s">
        <v>24</v>
      </c>
      <c r="H2" s="11" t="s">
        <v>25</v>
      </c>
      <c r="I2" s="10" t="s">
        <v>26</v>
      </c>
      <c r="J2" s="9" t="s">
        <v>27</v>
      </c>
      <c r="K2" s="9" t="s">
        <v>28</v>
      </c>
      <c r="L2" s="61" t="s">
        <v>967</v>
      </c>
      <c r="M2" s="13">
        <v>45951</v>
      </c>
      <c r="N2" s="13">
        <v>45951</v>
      </c>
      <c r="O2" s="12">
        <v>40</v>
      </c>
      <c r="P2" s="14" t="s">
        <v>29</v>
      </c>
      <c r="Q2" s="14" t="s">
        <v>30</v>
      </c>
      <c r="R2" s="14" t="s">
        <v>31</v>
      </c>
      <c r="S2" s="14" t="s">
        <v>766</v>
      </c>
    </row>
    <row r="3" spans="1:19" ht="102" customHeight="1" x14ac:dyDescent="0.2">
      <c r="A3" s="15" t="s">
        <v>32</v>
      </c>
      <c r="B3" s="9" t="s">
        <v>19</v>
      </c>
      <c r="C3" s="19" t="s">
        <v>33</v>
      </c>
      <c r="D3" s="9" t="s">
        <v>21</v>
      </c>
      <c r="E3" s="10" t="s">
        <v>34</v>
      </c>
      <c r="F3" s="10" t="s">
        <v>35</v>
      </c>
      <c r="G3" s="10" t="s">
        <v>24</v>
      </c>
      <c r="H3" s="10" t="s">
        <v>25</v>
      </c>
      <c r="I3" s="10" t="s">
        <v>36</v>
      </c>
      <c r="J3" s="9" t="s">
        <v>27</v>
      </c>
      <c r="K3" s="9" t="s">
        <v>28</v>
      </c>
      <c r="L3" s="61" t="s">
        <v>967</v>
      </c>
      <c r="M3" s="13">
        <v>45951</v>
      </c>
      <c r="N3" s="13">
        <v>45951</v>
      </c>
      <c r="O3" s="16">
        <v>20</v>
      </c>
      <c r="P3" s="16" t="s">
        <v>29</v>
      </c>
      <c r="Q3" s="14" t="s">
        <v>30</v>
      </c>
      <c r="R3" s="16" t="s">
        <v>31</v>
      </c>
      <c r="S3" s="16" t="s">
        <v>766</v>
      </c>
    </row>
    <row r="4" spans="1:19" ht="311.25" customHeight="1" x14ac:dyDescent="0.2">
      <c r="A4" s="15" t="s">
        <v>37</v>
      </c>
      <c r="B4" s="9" t="s">
        <v>19</v>
      </c>
      <c r="C4" s="19" t="s">
        <v>38</v>
      </c>
      <c r="D4" s="9" t="s">
        <v>21</v>
      </c>
      <c r="E4" s="10" t="s">
        <v>39</v>
      </c>
      <c r="F4" s="10" t="s">
        <v>40</v>
      </c>
      <c r="G4" s="10" t="s">
        <v>41</v>
      </c>
      <c r="H4" s="10" t="s">
        <v>42</v>
      </c>
      <c r="I4" s="10" t="s">
        <v>43</v>
      </c>
      <c r="J4" s="9" t="s">
        <v>27</v>
      </c>
      <c r="K4" s="9" t="s">
        <v>44</v>
      </c>
      <c r="L4" s="61" t="s">
        <v>967</v>
      </c>
      <c r="M4" s="13">
        <v>45951</v>
      </c>
      <c r="N4" s="13">
        <v>45951</v>
      </c>
      <c r="O4" s="9">
        <v>120</v>
      </c>
      <c r="P4" s="16" t="s">
        <v>29</v>
      </c>
      <c r="Q4" s="14" t="s">
        <v>31</v>
      </c>
      <c r="R4" s="16" t="s">
        <v>31</v>
      </c>
      <c r="S4" s="16" t="s">
        <v>766</v>
      </c>
    </row>
    <row r="5" spans="1:19" ht="274.89999999999998" customHeight="1" x14ac:dyDescent="0.2">
      <c r="A5" s="15" t="s">
        <v>45</v>
      </c>
      <c r="B5" s="9" t="s">
        <v>19</v>
      </c>
      <c r="C5" s="19" t="s">
        <v>46</v>
      </c>
      <c r="D5" s="9" t="s">
        <v>21</v>
      </c>
      <c r="E5" s="10" t="s">
        <v>47</v>
      </c>
      <c r="F5" s="10" t="s">
        <v>48</v>
      </c>
      <c r="G5" s="10" t="s">
        <v>24</v>
      </c>
      <c r="H5" s="10" t="s">
        <v>49</v>
      </c>
      <c r="I5" s="10" t="s">
        <v>50</v>
      </c>
      <c r="J5" s="9" t="s">
        <v>27</v>
      </c>
      <c r="K5" s="9" t="s">
        <v>44</v>
      </c>
      <c r="L5" s="61" t="s">
        <v>967</v>
      </c>
      <c r="M5" s="17">
        <v>45951</v>
      </c>
      <c r="N5" s="17">
        <v>45951</v>
      </c>
      <c r="O5" s="16">
        <v>35</v>
      </c>
      <c r="P5" s="16" t="s">
        <v>29</v>
      </c>
      <c r="Q5" s="14" t="s">
        <v>30</v>
      </c>
      <c r="R5" s="16" t="s">
        <v>31</v>
      </c>
      <c r="S5" s="16" t="s">
        <v>766</v>
      </c>
    </row>
    <row r="6" spans="1:19" ht="206.45" customHeight="1" x14ac:dyDescent="0.2">
      <c r="A6" s="15" t="s">
        <v>51</v>
      </c>
      <c r="B6" s="9" t="s">
        <v>19</v>
      </c>
      <c r="C6" s="19" t="s">
        <v>52</v>
      </c>
      <c r="D6" s="9" t="s">
        <v>21</v>
      </c>
      <c r="E6" s="10" t="s">
        <v>53</v>
      </c>
      <c r="F6" s="10" t="s">
        <v>54</v>
      </c>
      <c r="G6" s="10" t="s">
        <v>55</v>
      </c>
      <c r="H6" s="10" t="s">
        <v>56</v>
      </c>
      <c r="I6" s="10" t="s">
        <v>57</v>
      </c>
      <c r="J6" s="9" t="s">
        <v>58</v>
      </c>
      <c r="K6" s="9" t="s">
        <v>28</v>
      </c>
      <c r="L6" s="61" t="s">
        <v>967</v>
      </c>
      <c r="M6" s="17">
        <v>45951</v>
      </c>
      <c r="N6" s="17">
        <v>45951</v>
      </c>
      <c r="O6" s="16">
        <v>15</v>
      </c>
      <c r="P6" s="16" t="s">
        <v>29</v>
      </c>
      <c r="Q6" s="14" t="s">
        <v>30</v>
      </c>
      <c r="R6" s="16" t="s">
        <v>31</v>
      </c>
      <c r="S6" s="16" t="s">
        <v>766</v>
      </c>
    </row>
    <row r="7" spans="1:19" ht="114" customHeight="1" x14ac:dyDescent="0.2">
      <c r="A7" s="15" t="s">
        <v>59</v>
      </c>
      <c r="B7" s="18" t="s">
        <v>19</v>
      </c>
      <c r="C7" s="71" t="s">
        <v>60</v>
      </c>
      <c r="D7" s="9" t="s">
        <v>61</v>
      </c>
      <c r="E7" s="10" t="s">
        <v>62</v>
      </c>
      <c r="F7" s="10" t="s">
        <v>63</v>
      </c>
      <c r="G7" s="10" t="s">
        <v>64</v>
      </c>
      <c r="H7" s="10" t="s">
        <v>65</v>
      </c>
      <c r="I7" s="10" t="s">
        <v>66</v>
      </c>
      <c r="J7" s="9" t="s">
        <v>27</v>
      </c>
      <c r="K7" s="9" t="s">
        <v>28</v>
      </c>
      <c r="L7" s="61" t="s">
        <v>967</v>
      </c>
      <c r="M7" s="17">
        <v>45951</v>
      </c>
      <c r="N7" s="17">
        <v>45951</v>
      </c>
      <c r="O7" s="16">
        <v>15</v>
      </c>
      <c r="P7" s="16" t="s">
        <v>29</v>
      </c>
      <c r="Q7" s="14" t="s">
        <v>67</v>
      </c>
      <c r="R7" s="16" t="s">
        <v>67</v>
      </c>
      <c r="S7" s="16" t="s">
        <v>767</v>
      </c>
    </row>
    <row r="8" spans="1:19" ht="143.44999999999999" customHeight="1" x14ac:dyDescent="0.2">
      <c r="A8" s="15" t="s">
        <v>68</v>
      </c>
      <c r="B8" s="9" t="s">
        <v>19</v>
      </c>
      <c r="C8" s="19" t="s">
        <v>69</v>
      </c>
      <c r="D8" s="9" t="s">
        <v>70</v>
      </c>
      <c r="E8" s="10" t="s">
        <v>71</v>
      </c>
      <c r="F8" s="10" t="s">
        <v>72</v>
      </c>
      <c r="G8" s="10" t="s">
        <v>73</v>
      </c>
      <c r="H8" s="10" t="s">
        <v>74</v>
      </c>
      <c r="I8" s="10" t="s">
        <v>75</v>
      </c>
      <c r="J8" s="9" t="s">
        <v>27</v>
      </c>
      <c r="K8" s="9" t="s">
        <v>44</v>
      </c>
      <c r="L8" s="61" t="s">
        <v>967</v>
      </c>
      <c r="M8" s="17">
        <v>45951</v>
      </c>
      <c r="N8" s="17">
        <v>45951</v>
      </c>
      <c r="O8" s="16">
        <v>20</v>
      </c>
      <c r="P8" s="16" t="s">
        <v>29</v>
      </c>
      <c r="Q8" s="14" t="s">
        <v>30</v>
      </c>
      <c r="R8" s="16" t="s">
        <v>31</v>
      </c>
      <c r="S8" s="16" t="s">
        <v>766</v>
      </c>
    </row>
    <row r="9" spans="1:19" ht="148.15" customHeight="1" x14ac:dyDescent="0.2">
      <c r="A9" s="15" t="s">
        <v>76</v>
      </c>
      <c r="B9" s="9" t="s">
        <v>19</v>
      </c>
      <c r="C9" s="69" t="s">
        <v>77</v>
      </c>
      <c r="D9" s="9" t="s">
        <v>61</v>
      </c>
      <c r="E9" s="10" t="s">
        <v>78</v>
      </c>
      <c r="F9" s="10" t="s">
        <v>79</v>
      </c>
      <c r="G9" s="10" t="s">
        <v>80</v>
      </c>
      <c r="H9" s="10" t="s">
        <v>81</v>
      </c>
      <c r="I9" s="10" t="s">
        <v>82</v>
      </c>
      <c r="J9" s="9" t="s">
        <v>27</v>
      </c>
      <c r="K9" s="9" t="s">
        <v>83</v>
      </c>
      <c r="L9" s="61" t="s">
        <v>967</v>
      </c>
      <c r="M9" s="17"/>
      <c r="N9" s="17"/>
      <c r="O9" s="16"/>
      <c r="P9" s="16" t="s">
        <v>29</v>
      </c>
      <c r="Q9" s="14" t="s">
        <v>67</v>
      </c>
      <c r="R9" s="16" t="s">
        <v>67</v>
      </c>
      <c r="S9" s="16" t="s">
        <v>768</v>
      </c>
    </row>
    <row r="10" spans="1:19" ht="90.6" customHeight="1" x14ac:dyDescent="0.2">
      <c r="A10" s="15" t="s">
        <v>84</v>
      </c>
      <c r="B10" s="9" t="s">
        <v>19</v>
      </c>
      <c r="C10" s="69" t="s">
        <v>85</v>
      </c>
      <c r="D10" s="9" t="s">
        <v>61</v>
      </c>
      <c r="E10" s="10" t="s">
        <v>86</v>
      </c>
      <c r="F10" s="10" t="s">
        <v>87</v>
      </c>
      <c r="G10" s="10" t="s">
        <v>64</v>
      </c>
      <c r="H10" s="10" t="s">
        <v>88</v>
      </c>
      <c r="I10" s="10" t="s">
        <v>89</v>
      </c>
      <c r="J10" s="9" t="s">
        <v>27</v>
      </c>
      <c r="K10" s="9" t="s">
        <v>28</v>
      </c>
      <c r="L10" s="61" t="s">
        <v>967</v>
      </c>
      <c r="M10" s="17">
        <v>45952</v>
      </c>
      <c r="N10" s="17">
        <v>45952</v>
      </c>
      <c r="O10" s="16">
        <v>10</v>
      </c>
      <c r="P10" s="16" t="s">
        <v>29</v>
      </c>
      <c r="Q10" s="14" t="s">
        <v>67</v>
      </c>
      <c r="R10" s="16" t="s">
        <v>67</v>
      </c>
      <c r="S10" s="16" t="s">
        <v>768</v>
      </c>
    </row>
    <row r="11" spans="1:19" ht="90" x14ac:dyDescent="0.2">
      <c r="A11" s="15" t="s">
        <v>90</v>
      </c>
      <c r="B11" s="9" t="s">
        <v>19</v>
      </c>
      <c r="C11" s="69" t="s">
        <v>91</v>
      </c>
      <c r="D11" s="9" t="s">
        <v>61</v>
      </c>
      <c r="E11" s="10" t="s">
        <v>92</v>
      </c>
      <c r="F11" s="10" t="s">
        <v>93</v>
      </c>
      <c r="G11" s="10" t="s">
        <v>94</v>
      </c>
      <c r="H11" s="10" t="s">
        <v>64</v>
      </c>
      <c r="I11" s="10" t="s">
        <v>95</v>
      </c>
      <c r="J11" s="9" t="s">
        <v>27</v>
      </c>
      <c r="K11" s="9" t="s">
        <v>28</v>
      </c>
      <c r="L11" s="61" t="s">
        <v>967</v>
      </c>
      <c r="M11" s="17">
        <v>45952</v>
      </c>
      <c r="N11" s="17">
        <v>45952</v>
      </c>
      <c r="O11" s="16">
        <v>15</v>
      </c>
      <c r="P11" s="16" t="s">
        <v>29</v>
      </c>
      <c r="Q11" s="14" t="s">
        <v>67</v>
      </c>
      <c r="R11" s="16" t="s">
        <v>67</v>
      </c>
      <c r="S11" s="16" t="s">
        <v>769</v>
      </c>
    </row>
    <row r="12" spans="1:19" ht="120" x14ac:dyDescent="0.2">
      <c r="A12" s="15" t="s">
        <v>96</v>
      </c>
      <c r="B12" s="9" t="s">
        <v>19</v>
      </c>
      <c r="C12" s="19" t="s">
        <v>97</v>
      </c>
      <c r="D12" s="9" t="s">
        <v>98</v>
      </c>
      <c r="E12" s="10" t="s">
        <v>99</v>
      </c>
      <c r="F12" s="10" t="s">
        <v>100</v>
      </c>
      <c r="G12" s="10" t="s">
        <v>101</v>
      </c>
      <c r="H12" s="10" t="s">
        <v>102</v>
      </c>
      <c r="I12" s="10" t="s">
        <v>103</v>
      </c>
      <c r="J12" s="9" t="s">
        <v>27</v>
      </c>
      <c r="K12" s="9" t="s">
        <v>28</v>
      </c>
      <c r="L12" s="61" t="s">
        <v>967</v>
      </c>
      <c r="M12" s="17">
        <v>45952</v>
      </c>
      <c r="N12" s="17">
        <v>45952</v>
      </c>
      <c r="O12" s="16">
        <v>120</v>
      </c>
      <c r="P12" s="16" t="s">
        <v>29</v>
      </c>
      <c r="Q12" s="14" t="s">
        <v>30</v>
      </c>
      <c r="R12" s="16" t="s">
        <v>31</v>
      </c>
      <c r="S12" s="16" t="s">
        <v>766</v>
      </c>
    </row>
    <row r="13" spans="1:19" ht="355.15" customHeight="1" x14ac:dyDescent="0.2">
      <c r="A13" s="15" t="s">
        <v>104</v>
      </c>
      <c r="B13" s="9" t="s">
        <v>105</v>
      </c>
      <c r="C13" s="19" t="s">
        <v>106</v>
      </c>
      <c r="D13" s="9" t="s">
        <v>21</v>
      </c>
      <c r="E13" s="11" t="s">
        <v>107</v>
      </c>
      <c r="F13" s="21" t="s">
        <v>108</v>
      </c>
      <c r="G13" s="10" t="s">
        <v>109</v>
      </c>
      <c r="H13" s="10" t="s">
        <v>110</v>
      </c>
      <c r="I13" s="10" t="s">
        <v>111</v>
      </c>
      <c r="J13" s="9" t="s">
        <v>27</v>
      </c>
      <c r="K13" s="9" t="s">
        <v>28</v>
      </c>
      <c r="L13" s="61" t="s">
        <v>967</v>
      </c>
      <c r="M13" s="20">
        <v>45951</v>
      </c>
      <c r="N13" s="20">
        <v>45951</v>
      </c>
      <c r="O13" s="9">
        <v>20</v>
      </c>
      <c r="P13" s="16" t="s">
        <v>112</v>
      </c>
      <c r="Q13" s="14" t="s">
        <v>30</v>
      </c>
      <c r="R13" s="16" t="s">
        <v>31</v>
      </c>
      <c r="S13" s="16" t="s">
        <v>766</v>
      </c>
    </row>
    <row r="14" spans="1:19" ht="330" customHeight="1" x14ac:dyDescent="0.2">
      <c r="A14" s="15" t="s">
        <v>113</v>
      </c>
      <c r="B14" s="9" t="s">
        <v>105</v>
      </c>
      <c r="C14" s="19" t="s">
        <v>114</v>
      </c>
      <c r="D14" s="9" t="s">
        <v>21</v>
      </c>
      <c r="E14" s="11" t="s">
        <v>115</v>
      </c>
      <c r="F14" s="21" t="s">
        <v>116</v>
      </c>
      <c r="G14" s="10" t="s">
        <v>117</v>
      </c>
      <c r="H14" s="10" t="s">
        <v>118</v>
      </c>
      <c r="I14" s="10" t="s">
        <v>119</v>
      </c>
      <c r="J14" s="9" t="s">
        <v>27</v>
      </c>
      <c r="K14" s="9" t="s">
        <v>28</v>
      </c>
      <c r="L14" s="61" t="s">
        <v>967</v>
      </c>
      <c r="M14" s="20">
        <v>45951</v>
      </c>
      <c r="N14" s="20">
        <v>45951</v>
      </c>
      <c r="O14" s="9">
        <v>20</v>
      </c>
      <c r="P14" s="16" t="s">
        <v>112</v>
      </c>
      <c r="Q14" s="14" t="s">
        <v>30</v>
      </c>
      <c r="R14" s="16" t="s">
        <v>31</v>
      </c>
      <c r="S14" s="16" t="s">
        <v>766</v>
      </c>
    </row>
    <row r="15" spans="1:19" ht="75" x14ac:dyDescent="0.2">
      <c r="A15" s="15" t="s">
        <v>120</v>
      </c>
      <c r="B15" s="9" t="s">
        <v>105</v>
      </c>
      <c r="C15" s="19" t="s">
        <v>121</v>
      </c>
      <c r="D15" s="9" t="s">
        <v>21</v>
      </c>
      <c r="E15" s="11" t="s">
        <v>122</v>
      </c>
      <c r="F15" s="10" t="s">
        <v>123</v>
      </c>
      <c r="G15" s="10" t="s">
        <v>124</v>
      </c>
      <c r="H15" s="10" t="s">
        <v>125</v>
      </c>
      <c r="I15" s="10" t="s">
        <v>126</v>
      </c>
      <c r="J15" s="9" t="s">
        <v>58</v>
      </c>
      <c r="K15" s="9" t="s">
        <v>28</v>
      </c>
      <c r="L15" s="61" t="s">
        <v>967</v>
      </c>
      <c r="M15" s="20">
        <v>45951</v>
      </c>
      <c r="N15" s="20">
        <v>45951</v>
      </c>
      <c r="O15" s="9">
        <v>5</v>
      </c>
      <c r="P15" s="16" t="s">
        <v>112</v>
      </c>
      <c r="Q15" s="14" t="s">
        <v>31</v>
      </c>
      <c r="R15" s="16" t="s">
        <v>31</v>
      </c>
      <c r="S15" s="16" t="s">
        <v>769</v>
      </c>
    </row>
    <row r="16" spans="1:19" ht="283.89999999999998" customHeight="1" x14ac:dyDescent="0.2">
      <c r="A16" s="15" t="s">
        <v>127</v>
      </c>
      <c r="B16" s="9" t="s">
        <v>105</v>
      </c>
      <c r="C16" s="19" t="s">
        <v>128</v>
      </c>
      <c r="D16" s="9" t="s">
        <v>21</v>
      </c>
      <c r="E16" s="11" t="s">
        <v>129</v>
      </c>
      <c r="F16" s="10" t="s">
        <v>130</v>
      </c>
      <c r="G16" s="10" t="s">
        <v>131</v>
      </c>
      <c r="H16" s="10" t="s">
        <v>132</v>
      </c>
      <c r="I16" s="10" t="s">
        <v>133</v>
      </c>
      <c r="J16" s="9" t="s">
        <v>58</v>
      </c>
      <c r="K16" s="9" t="s">
        <v>28</v>
      </c>
      <c r="L16" s="61" t="s">
        <v>967</v>
      </c>
      <c r="M16" s="20">
        <v>45951</v>
      </c>
      <c r="N16" s="20">
        <v>45951</v>
      </c>
      <c r="O16" s="9">
        <v>5</v>
      </c>
      <c r="P16" s="16" t="s">
        <v>112</v>
      </c>
      <c r="Q16" s="14" t="s">
        <v>31</v>
      </c>
      <c r="R16" s="16" t="s">
        <v>31</v>
      </c>
      <c r="S16" s="16" t="s">
        <v>769</v>
      </c>
    </row>
    <row r="17" spans="1:19" ht="349.9" customHeight="1" x14ac:dyDescent="0.2">
      <c r="A17" s="15" t="s">
        <v>134</v>
      </c>
      <c r="B17" s="9" t="s">
        <v>105</v>
      </c>
      <c r="C17" s="68" t="s">
        <v>135</v>
      </c>
      <c r="D17" s="9" t="s">
        <v>21</v>
      </c>
      <c r="E17" s="11" t="s">
        <v>136</v>
      </c>
      <c r="F17" s="10" t="s">
        <v>137</v>
      </c>
      <c r="G17" s="10" t="s">
        <v>131</v>
      </c>
      <c r="H17" s="10" t="s">
        <v>138</v>
      </c>
      <c r="I17" s="10" t="s">
        <v>139</v>
      </c>
      <c r="J17" s="9" t="s">
        <v>27</v>
      </c>
      <c r="K17" s="9" t="s">
        <v>28</v>
      </c>
      <c r="L17" s="61" t="s">
        <v>967</v>
      </c>
      <c r="M17" s="20">
        <v>45951</v>
      </c>
      <c r="N17" s="20">
        <v>45951</v>
      </c>
      <c r="O17" s="16">
        <v>10</v>
      </c>
      <c r="P17" s="16" t="s">
        <v>112</v>
      </c>
      <c r="Q17" s="14" t="s">
        <v>31</v>
      </c>
      <c r="R17" s="16" t="s">
        <v>31</v>
      </c>
      <c r="S17" s="16" t="s">
        <v>769</v>
      </c>
    </row>
    <row r="18" spans="1:19" ht="90" x14ac:dyDescent="0.2">
      <c r="A18" s="15" t="s">
        <v>140</v>
      </c>
      <c r="B18" s="9" t="s">
        <v>105</v>
      </c>
      <c r="C18" s="68" t="s">
        <v>141</v>
      </c>
      <c r="D18" s="9" t="s">
        <v>61</v>
      </c>
      <c r="E18" s="11" t="s">
        <v>142</v>
      </c>
      <c r="F18" s="10" t="s">
        <v>143</v>
      </c>
      <c r="G18" s="10" t="s">
        <v>144</v>
      </c>
      <c r="H18" s="10" t="s">
        <v>64</v>
      </c>
      <c r="I18" s="10" t="s">
        <v>145</v>
      </c>
      <c r="J18" s="9" t="s">
        <v>27</v>
      </c>
      <c r="K18" s="9" t="s">
        <v>28</v>
      </c>
      <c r="L18" s="61" t="s">
        <v>967</v>
      </c>
      <c r="M18" s="20">
        <v>45951</v>
      </c>
      <c r="N18" s="20">
        <v>45951</v>
      </c>
      <c r="O18" s="16">
        <v>10</v>
      </c>
      <c r="P18" s="16" t="s">
        <v>112</v>
      </c>
      <c r="Q18" s="14" t="s">
        <v>31</v>
      </c>
      <c r="R18" s="16" t="s">
        <v>31</v>
      </c>
      <c r="S18" s="16" t="s">
        <v>769</v>
      </c>
    </row>
    <row r="19" spans="1:19" ht="165" x14ac:dyDescent="0.2">
      <c r="A19" s="15" t="s">
        <v>146</v>
      </c>
      <c r="B19" s="9" t="s">
        <v>105</v>
      </c>
      <c r="C19" s="68" t="s">
        <v>147</v>
      </c>
      <c r="D19" s="9" t="s">
        <v>21</v>
      </c>
      <c r="E19" s="11" t="s">
        <v>148</v>
      </c>
      <c r="F19" s="10" t="s">
        <v>149</v>
      </c>
      <c r="G19" s="10" t="s">
        <v>150</v>
      </c>
      <c r="H19" s="10" t="s">
        <v>151</v>
      </c>
      <c r="I19" s="10" t="s">
        <v>152</v>
      </c>
      <c r="J19" s="9" t="s">
        <v>27</v>
      </c>
      <c r="K19" s="9" t="s">
        <v>28</v>
      </c>
      <c r="L19" s="61" t="s">
        <v>967</v>
      </c>
      <c r="M19" s="20">
        <v>45951</v>
      </c>
      <c r="N19" s="20">
        <v>45951</v>
      </c>
      <c r="O19" s="16">
        <v>30</v>
      </c>
      <c r="P19" s="16" t="s">
        <v>112</v>
      </c>
      <c r="Q19" s="14" t="s">
        <v>31</v>
      </c>
      <c r="R19" s="16" t="s">
        <v>31</v>
      </c>
      <c r="S19" s="16" t="s">
        <v>769</v>
      </c>
    </row>
    <row r="20" spans="1:19" ht="180" x14ac:dyDescent="0.2">
      <c r="A20" s="15" t="s">
        <v>153</v>
      </c>
      <c r="B20" s="9" t="s">
        <v>154</v>
      </c>
      <c r="C20" s="19" t="s">
        <v>155</v>
      </c>
      <c r="D20" s="9" t="s">
        <v>21</v>
      </c>
      <c r="E20" s="10" t="s">
        <v>156</v>
      </c>
      <c r="F20" s="10" t="s">
        <v>157</v>
      </c>
      <c r="G20" s="10" t="s">
        <v>158</v>
      </c>
      <c r="H20" s="10" t="s">
        <v>64</v>
      </c>
      <c r="I20" s="10" t="s">
        <v>159</v>
      </c>
      <c r="J20" s="9" t="s">
        <v>27</v>
      </c>
      <c r="K20" s="9" t="s">
        <v>28</v>
      </c>
      <c r="L20" s="61" t="s">
        <v>967</v>
      </c>
      <c r="M20" s="17">
        <v>45951</v>
      </c>
      <c r="N20" s="17">
        <v>45951</v>
      </c>
      <c r="O20" s="16">
        <v>30</v>
      </c>
      <c r="P20" s="16" t="s">
        <v>160</v>
      </c>
      <c r="Q20" s="14" t="s">
        <v>31</v>
      </c>
      <c r="R20" s="16" t="s">
        <v>31</v>
      </c>
      <c r="S20" s="16" t="s">
        <v>767</v>
      </c>
    </row>
    <row r="21" spans="1:19" ht="90" x14ac:dyDescent="0.2">
      <c r="A21" s="15" t="s">
        <v>161</v>
      </c>
      <c r="B21" s="9" t="s">
        <v>154</v>
      </c>
      <c r="C21" s="19" t="s">
        <v>162</v>
      </c>
      <c r="D21" s="9" t="s">
        <v>21</v>
      </c>
      <c r="E21" s="10" t="s">
        <v>163</v>
      </c>
      <c r="F21" s="10" t="s">
        <v>164</v>
      </c>
      <c r="G21" s="10" t="s">
        <v>165</v>
      </c>
      <c r="H21" s="10" t="s">
        <v>166</v>
      </c>
      <c r="I21" s="10" t="s">
        <v>167</v>
      </c>
      <c r="J21" s="9" t="s">
        <v>58</v>
      </c>
      <c r="K21" s="9" t="s">
        <v>28</v>
      </c>
      <c r="L21" s="61" t="s">
        <v>967</v>
      </c>
      <c r="M21" s="17">
        <v>45951</v>
      </c>
      <c r="N21" s="17">
        <v>45951</v>
      </c>
      <c r="O21" s="16">
        <v>30</v>
      </c>
      <c r="P21" s="16" t="s">
        <v>160</v>
      </c>
      <c r="Q21" s="14" t="s">
        <v>31</v>
      </c>
      <c r="R21" s="16" t="s">
        <v>31</v>
      </c>
      <c r="S21" s="16" t="s">
        <v>767</v>
      </c>
    </row>
    <row r="22" spans="1:19" ht="75" x14ac:dyDescent="0.2">
      <c r="A22" s="15" t="s">
        <v>168</v>
      </c>
      <c r="B22" s="9" t="s">
        <v>154</v>
      </c>
      <c r="C22" s="19" t="s">
        <v>169</v>
      </c>
      <c r="D22" s="9" t="s">
        <v>21</v>
      </c>
      <c r="E22" s="10" t="s">
        <v>170</v>
      </c>
      <c r="F22" s="10" t="s">
        <v>171</v>
      </c>
      <c r="G22" s="10" t="s">
        <v>172</v>
      </c>
      <c r="H22" s="10" t="s">
        <v>64</v>
      </c>
      <c r="I22" s="10" t="s">
        <v>173</v>
      </c>
      <c r="J22" s="9" t="s">
        <v>58</v>
      </c>
      <c r="K22" s="9" t="s">
        <v>28</v>
      </c>
      <c r="L22" s="61" t="s">
        <v>967</v>
      </c>
      <c r="M22" s="17">
        <v>45951</v>
      </c>
      <c r="N22" s="17">
        <v>45951</v>
      </c>
      <c r="O22" s="16">
        <v>10</v>
      </c>
      <c r="P22" s="16" t="s">
        <v>160</v>
      </c>
      <c r="Q22" s="14" t="s">
        <v>31</v>
      </c>
      <c r="R22" s="16" t="s">
        <v>31</v>
      </c>
      <c r="S22" s="16" t="s">
        <v>769</v>
      </c>
    </row>
    <row r="23" spans="1:19" ht="45" x14ac:dyDescent="0.2">
      <c r="A23" s="15" t="s">
        <v>174</v>
      </c>
      <c r="B23" s="9" t="s">
        <v>154</v>
      </c>
      <c r="C23" s="19" t="s">
        <v>175</v>
      </c>
      <c r="D23" s="9" t="s">
        <v>61</v>
      </c>
      <c r="E23" s="10" t="s">
        <v>176</v>
      </c>
      <c r="F23" s="10" t="s">
        <v>177</v>
      </c>
      <c r="G23" s="10" t="s">
        <v>178</v>
      </c>
      <c r="H23" s="10" t="s">
        <v>64</v>
      </c>
      <c r="I23" s="10" t="s">
        <v>179</v>
      </c>
      <c r="J23" s="9" t="s">
        <v>180</v>
      </c>
      <c r="K23" s="9" t="s">
        <v>28</v>
      </c>
      <c r="L23" s="61" t="s">
        <v>967</v>
      </c>
      <c r="M23" s="17">
        <v>45951</v>
      </c>
      <c r="N23" s="17">
        <v>45951</v>
      </c>
      <c r="O23" s="16">
        <v>20</v>
      </c>
      <c r="P23" s="16" t="s">
        <v>160</v>
      </c>
      <c r="Q23" s="14" t="s">
        <v>31</v>
      </c>
      <c r="R23" s="16" t="s">
        <v>31</v>
      </c>
      <c r="S23" s="16" t="s">
        <v>766</v>
      </c>
    </row>
    <row r="24" spans="1:19" ht="60" x14ac:dyDescent="0.2">
      <c r="A24" s="15" t="s">
        <v>181</v>
      </c>
      <c r="B24" s="9" t="s">
        <v>154</v>
      </c>
      <c r="C24" s="69" t="s">
        <v>182</v>
      </c>
      <c r="D24" s="9" t="s">
        <v>183</v>
      </c>
      <c r="E24" s="10" t="s">
        <v>184</v>
      </c>
      <c r="F24" s="10" t="s">
        <v>185</v>
      </c>
      <c r="G24" s="10" t="s">
        <v>186</v>
      </c>
      <c r="H24" s="10" t="s">
        <v>64</v>
      </c>
      <c r="I24" s="10" t="s">
        <v>187</v>
      </c>
      <c r="J24" s="9" t="s">
        <v>58</v>
      </c>
      <c r="K24" s="9" t="s">
        <v>28</v>
      </c>
      <c r="L24" s="61" t="s">
        <v>967</v>
      </c>
      <c r="M24" s="17">
        <v>45951</v>
      </c>
      <c r="N24" s="17">
        <v>45951</v>
      </c>
      <c r="O24" s="16">
        <v>20</v>
      </c>
      <c r="P24" s="16" t="s">
        <v>160</v>
      </c>
      <c r="Q24" s="14" t="s">
        <v>67</v>
      </c>
      <c r="R24" s="16" t="s">
        <v>67</v>
      </c>
      <c r="S24" s="16" t="s">
        <v>769</v>
      </c>
    </row>
    <row r="25" spans="1:19" ht="165" x14ac:dyDescent="0.2">
      <c r="A25" s="15" t="s">
        <v>188</v>
      </c>
      <c r="B25" s="9" t="s">
        <v>189</v>
      </c>
      <c r="C25" s="69" t="s">
        <v>190</v>
      </c>
      <c r="D25" s="9" t="s">
        <v>21</v>
      </c>
      <c r="E25" s="11" t="s">
        <v>191</v>
      </c>
      <c r="F25" s="10" t="s">
        <v>192</v>
      </c>
      <c r="G25" s="10" t="s">
        <v>193</v>
      </c>
      <c r="H25" s="10" t="s">
        <v>64</v>
      </c>
      <c r="I25" s="10" t="s">
        <v>194</v>
      </c>
      <c r="J25" s="9" t="s">
        <v>27</v>
      </c>
      <c r="K25" s="9" t="s">
        <v>28</v>
      </c>
      <c r="L25" s="61" t="s">
        <v>967</v>
      </c>
      <c r="M25" s="20">
        <v>45951</v>
      </c>
      <c r="N25" s="20">
        <v>45951</v>
      </c>
      <c r="O25" s="16">
        <v>10</v>
      </c>
      <c r="P25" s="16" t="s">
        <v>112</v>
      </c>
      <c r="Q25" s="14" t="s">
        <v>67</v>
      </c>
      <c r="R25" s="16" t="s">
        <v>67</v>
      </c>
      <c r="S25" s="16" t="s">
        <v>769</v>
      </c>
    </row>
    <row r="26" spans="1:19" ht="255" x14ac:dyDescent="0.2">
      <c r="A26" s="15" t="s">
        <v>195</v>
      </c>
      <c r="B26" s="9" t="s">
        <v>189</v>
      </c>
      <c r="C26" s="69" t="s">
        <v>196</v>
      </c>
      <c r="D26" s="9" t="s">
        <v>21</v>
      </c>
      <c r="E26" s="11" t="s">
        <v>197</v>
      </c>
      <c r="F26" s="10" t="s">
        <v>198</v>
      </c>
      <c r="G26" s="10" t="s">
        <v>199</v>
      </c>
      <c r="H26" s="10" t="s">
        <v>200</v>
      </c>
      <c r="I26" s="10" t="s">
        <v>201</v>
      </c>
      <c r="J26" s="9" t="s">
        <v>27</v>
      </c>
      <c r="K26" s="9" t="s">
        <v>28</v>
      </c>
      <c r="L26" s="61" t="s">
        <v>967</v>
      </c>
      <c r="M26" s="20">
        <v>45951</v>
      </c>
      <c r="N26" s="20">
        <v>45951</v>
      </c>
      <c r="O26" s="16">
        <v>25</v>
      </c>
      <c r="P26" s="16" t="s">
        <v>112</v>
      </c>
      <c r="Q26" s="14" t="s">
        <v>67</v>
      </c>
      <c r="R26" s="16" t="s">
        <v>67</v>
      </c>
      <c r="S26" s="16" t="s">
        <v>769</v>
      </c>
    </row>
    <row r="27" spans="1:19" ht="285" x14ac:dyDescent="0.2">
      <c r="A27" s="15" t="s">
        <v>202</v>
      </c>
      <c r="B27" s="9" t="s">
        <v>189</v>
      </c>
      <c r="C27" s="69" t="s">
        <v>203</v>
      </c>
      <c r="D27" s="9" t="s">
        <v>21</v>
      </c>
      <c r="E27" s="11" t="s">
        <v>204</v>
      </c>
      <c r="F27" s="10" t="s">
        <v>205</v>
      </c>
      <c r="G27" s="10" t="s">
        <v>199</v>
      </c>
      <c r="H27" s="10" t="s">
        <v>206</v>
      </c>
      <c r="I27" s="10" t="s">
        <v>207</v>
      </c>
      <c r="J27" s="9" t="s">
        <v>27</v>
      </c>
      <c r="K27" s="9" t="s">
        <v>28</v>
      </c>
      <c r="L27" s="61" t="s">
        <v>967</v>
      </c>
      <c r="M27" s="20">
        <v>45951</v>
      </c>
      <c r="N27" s="20">
        <v>45951</v>
      </c>
      <c r="O27" s="16">
        <v>25</v>
      </c>
      <c r="P27" s="16" t="s">
        <v>112</v>
      </c>
      <c r="Q27" s="14" t="s">
        <v>67</v>
      </c>
      <c r="R27" s="16" t="s">
        <v>67</v>
      </c>
      <c r="S27" s="16" t="s">
        <v>769</v>
      </c>
    </row>
    <row r="28" spans="1:19" ht="120" x14ac:dyDescent="0.2">
      <c r="A28" s="15" t="s">
        <v>208</v>
      </c>
      <c r="B28" s="9" t="s">
        <v>189</v>
      </c>
      <c r="C28" s="69" t="s">
        <v>209</v>
      </c>
      <c r="D28" s="9" t="s">
        <v>21</v>
      </c>
      <c r="E28" s="11" t="s">
        <v>210</v>
      </c>
      <c r="F28" s="10" t="s">
        <v>211</v>
      </c>
      <c r="G28" s="10" t="s">
        <v>212</v>
      </c>
      <c r="H28" s="10" t="s">
        <v>213</v>
      </c>
      <c r="I28" s="10" t="s">
        <v>214</v>
      </c>
      <c r="J28" s="9" t="s">
        <v>58</v>
      </c>
      <c r="K28" s="9" t="s">
        <v>28</v>
      </c>
      <c r="L28" s="61" t="s">
        <v>967</v>
      </c>
      <c r="M28" s="20">
        <v>45951</v>
      </c>
      <c r="N28" s="20">
        <v>45951</v>
      </c>
      <c r="O28" s="16">
        <v>15</v>
      </c>
      <c r="P28" s="16" t="s">
        <v>112</v>
      </c>
      <c r="Q28" s="14" t="s">
        <v>67</v>
      </c>
      <c r="R28" s="16" t="s">
        <v>67</v>
      </c>
      <c r="S28" s="16" t="s">
        <v>769</v>
      </c>
    </row>
    <row r="29" spans="1:19" ht="210" x14ac:dyDescent="0.2">
      <c r="A29" s="15" t="s">
        <v>215</v>
      </c>
      <c r="B29" s="9" t="s">
        <v>189</v>
      </c>
      <c r="C29" s="69" t="s">
        <v>216</v>
      </c>
      <c r="D29" s="9" t="s">
        <v>21</v>
      </c>
      <c r="E29" s="11" t="s">
        <v>217</v>
      </c>
      <c r="F29" s="10" t="s">
        <v>218</v>
      </c>
      <c r="G29" s="10" t="s">
        <v>219</v>
      </c>
      <c r="H29" s="10" t="s">
        <v>220</v>
      </c>
      <c r="I29" s="10" t="s">
        <v>221</v>
      </c>
      <c r="J29" s="9" t="s">
        <v>180</v>
      </c>
      <c r="K29" s="9" t="s">
        <v>28</v>
      </c>
      <c r="L29" s="61" t="s">
        <v>967</v>
      </c>
      <c r="M29" s="20">
        <v>45951</v>
      </c>
      <c r="N29" s="20">
        <v>45951</v>
      </c>
      <c r="O29" s="16">
        <v>20</v>
      </c>
      <c r="P29" s="16" t="s">
        <v>112</v>
      </c>
      <c r="Q29" s="14" t="s">
        <v>67</v>
      </c>
      <c r="R29" s="16" t="s">
        <v>67</v>
      </c>
      <c r="S29" s="16" t="s">
        <v>769</v>
      </c>
    </row>
    <row r="30" spans="1:19" ht="75" x14ac:dyDescent="0.2">
      <c r="A30" s="15" t="s">
        <v>222</v>
      </c>
      <c r="B30" s="9" t="s">
        <v>189</v>
      </c>
      <c r="C30" s="69" t="s">
        <v>223</v>
      </c>
      <c r="D30" s="9" t="s">
        <v>21</v>
      </c>
      <c r="E30" s="11" t="s">
        <v>224</v>
      </c>
      <c r="F30" s="10" t="s">
        <v>225</v>
      </c>
      <c r="G30" s="10" t="s">
        <v>226</v>
      </c>
      <c r="H30" s="10" t="s">
        <v>64</v>
      </c>
      <c r="I30" s="10" t="s">
        <v>227</v>
      </c>
      <c r="J30" s="9" t="s">
        <v>180</v>
      </c>
      <c r="K30" s="9" t="s">
        <v>44</v>
      </c>
      <c r="L30" s="61" t="s">
        <v>967</v>
      </c>
      <c r="M30" s="22">
        <v>45951</v>
      </c>
      <c r="N30" s="22">
        <v>45951</v>
      </c>
      <c r="O30" s="16">
        <v>30</v>
      </c>
      <c r="P30" s="16" t="s">
        <v>112</v>
      </c>
      <c r="Q30" s="14" t="s">
        <v>67</v>
      </c>
      <c r="R30" s="16" t="s">
        <v>67</v>
      </c>
      <c r="S30" s="16" t="s">
        <v>769</v>
      </c>
    </row>
    <row r="31" spans="1:19" ht="255" x14ac:dyDescent="0.2">
      <c r="A31" s="15" t="s">
        <v>228</v>
      </c>
      <c r="B31" s="9" t="s">
        <v>229</v>
      </c>
      <c r="C31" s="19" t="s">
        <v>230</v>
      </c>
      <c r="D31" s="9" t="s">
        <v>21</v>
      </c>
      <c r="E31" s="10" t="s">
        <v>231</v>
      </c>
      <c r="F31" s="10" t="s">
        <v>232</v>
      </c>
      <c r="G31" s="10" t="s">
        <v>233</v>
      </c>
      <c r="H31" s="10" t="s">
        <v>234</v>
      </c>
      <c r="I31" s="10" t="s">
        <v>235</v>
      </c>
      <c r="J31" s="9" t="s">
        <v>27</v>
      </c>
      <c r="K31" s="9" t="s">
        <v>28</v>
      </c>
      <c r="L31" s="61" t="s">
        <v>967</v>
      </c>
      <c r="M31" s="17">
        <v>45952</v>
      </c>
      <c r="N31" s="17">
        <v>45952</v>
      </c>
      <c r="O31" s="16">
        <v>30</v>
      </c>
      <c r="P31" s="16" t="s">
        <v>29</v>
      </c>
      <c r="Q31" s="14" t="s">
        <v>31</v>
      </c>
      <c r="R31" s="16" t="s">
        <v>31</v>
      </c>
      <c r="S31" s="16" t="s">
        <v>766</v>
      </c>
    </row>
    <row r="32" spans="1:19" ht="165" x14ac:dyDescent="0.2">
      <c r="A32" s="15" t="s">
        <v>236</v>
      </c>
      <c r="B32" s="9" t="s">
        <v>229</v>
      </c>
      <c r="C32" s="19" t="s">
        <v>237</v>
      </c>
      <c r="D32" s="9" t="s">
        <v>21</v>
      </c>
      <c r="E32" s="10" t="s">
        <v>238</v>
      </c>
      <c r="F32" s="10" t="s">
        <v>239</v>
      </c>
      <c r="G32" s="10" t="s">
        <v>240</v>
      </c>
      <c r="H32" s="10" t="s">
        <v>241</v>
      </c>
      <c r="I32" s="10" t="s">
        <v>242</v>
      </c>
      <c r="J32" s="9" t="s">
        <v>27</v>
      </c>
      <c r="K32" s="9" t="s">
        <v>28</v>
      </c>
      <c r="L32" s="61" t="s">
        <v>967</v>
      </c>
      <c r="M32" s="17">
        <v>45952</v>
      </c>
      <c r="N32" s="17">
        <v>45952</v>
      </c>
      <c r="O32" s="16">
        <v>25</v>
      </c>
      <c r="P32" s="16" t="s">
        <v>29</v>
      </c>
      <c r="Q32" s="14" t="s">
        <v>31</v>
      </c>
      <c r="R32" s="16" t="s">
        <v>31</v>
      </c>
      <c r="S32" s="16" t="s">
        <v>766</v>
      </c>
    </row>
    <row r="33" spans="1:19" ht="165" x14ac:dyDescent="0.2">
      <c r="A33" s="15" t="s">
        <v>243</v>
      </c>
      <c r="B33" s="9" t="s">
        <v>229</v>
      </c>
      <c r="C33" s="69" t="s">
        <v>244</v>
      </c>
      <c r="D33" s="9" t="s">
        <v>21</v>
      </c>
      <c r="E33" s="10" t="s">
        <v>245</v>
      </c>
      <c r="F33" s="10" t="s">
        <v>246</v>
      </c>
      <c r="G33" s="10" t="s">
        <v>247</v>
      </c>
      <c r="H33" s="10" t="s">
        <v>248</v>
      </c>
      <c r="I33" s="10" t="s">
        <v>249</v>
      </c>
      <c r="J33" s="9" t="s">
        <v>27</v>
      </c>
      <c r="K33" s="9" t="s">
        <v>28</v>
      </c>
      <c r="L33" s="61" t="s">
        <v>967</v>
      </c>
      <c r="M33" s="17">
        <v>45952</v>
      </c>
      <c r="N33" s="17">
        <v>45952</v>
      </c>
      <c r="O33" s="16">
        <v>15</v>
      </c>
      <c r="P33" s="16" t="s">
        <v>29</v>
      </c>
      <c r="Q33" s="14" t="s">
        <v>67</v>
      </c>
      <c r="R33" s="16" t="s">
        <v>67</v>
      </c>
      <c r="S33" s="16" t="s">
        <v>767</v>
      </c>
    </row>
    <row r="34" spans="1:19" ht="135" x14ac:dyDescent="0.2">
      <c r="A34" s="15" t="s">
        <v>250</v>
      </c>
      <c r="B34" s="9" t="s">
        <v>229</v>
      </c>
      <c r="C34" s="19" t="s">
        <v>251</v>
      </c>
      <c r="D34" s="9" t="s">
        <v>21</v>
      </c>
      <c r="E34" s="10" t="s">
        <v>252</v>
      </c>
      <c r="F34" s="10" t="s">
        <v>253</v>
      </c>
      <c r="G34" s="10" t="s">
        <v>254</v>
      </c>
      <c r="H34" s="10" t="s">
        <v>255</v>
      </c>
      <c r="I34" s="10" t="s">
        <v>256</v>
      </c>
      <c r="J34" s="9" t="s">
        <v>27</v>
      </c>
      <c r="K34" s="9" t="s">
        <v>28</v>
      </c>
      <c r="L34" s="61" t="s">
        <v>967</v>
      </c>
      <c r="M34" s="17">
        <v>45952</v>
      </c>
      <c r="N34" s="17">
        <v>45952</v>
      </c>
      <c r="O34" s="16">
        <v>15</v>
      </c>
      <c r="P34" s="16" t="s">
        <v>29</v>
      </c>
      <c r="Q34" s="14" t="s">
        <v>31</v>
      </c>
      <c r="R34" s="16" t="s">
        <v>31</v>
      </c>
      <c r="S34" s="16" t="s">
        <v>766</v>
      </c>
    </row>
    <row r="35" spans="1:19" ht="180" x14ac:dyDescent="0.2">
      <c r="A35" s="15" t="s">
        <v>257</v>
      </c>
      <c r="B35" s="9" t="s">
        <v>229</v>
      </c>
      <c r="C35" s="19" t="s">
        <v>258</v>
      </c>
      <c r="D35" s="9" t="s">
        <v>21</v>
      </c>
      <c r="E35" s="10" t="s">
        <v>259</v>
      </c>
      <c r="F35" s="10" t="s">
        <v>260</v>
      </c>
      <c r="G35" s="10" t="s">
        <v>261</v>
      </c>
      <c r="H35" s="10" t="s">
        <v>262</v>
      </c>
      <c r="I35" s="10" t="s">
        <v>263</v>
      </c>
      <c r="J35" s="9" t="s">
        <v>27</v>
      </c>
      <c r="K35" s="9" t="s">
        <v>28</v>
      </c>
      <c r="L35" s="61" t="s">
        <v>967</v>
      </c>
      <c r="M35" s="17">
        <v>45952</v>
      </c>
      <c r="N35" s="17">
        <v>45952</v>
      </c>
      <c r="O35" s="16">
        <v>30</v>
      </c>
      <c r="P35" s="16" t="s">
        <v>29</v>
      </c>
      <c r="Q35" s="14" t="s">
        <v>31</v>
      </c>
      <c r="R35" s="16" t="s">
        <v>31</v>
      </c>
      <c r="S35" s="16" t="s">
        <v>766</v>
      </c>
    </row>
    <row r="36" spans="1:19" ht="150" x14ac:dyDescent="0.2">
      <c r="A36" s="15" t="s">
        <v>264</v>
      </c>
      <c r="B36" s="9" t="s">
        <v>229</v>
      </c>
      <c r="C36" s="19" t="s">
        <v>265</v>
      </c>
      <c r="D36" s="9" t="s">
        <v>21</v>
      </c>
      <c r="E36" s="10" t="s">
        <v>266</v>
      </c>
      <c r="F36" s="10" t="s">
        <v>267</v>
      </c>
      <c r="G36" s="10" t="s">
        <v>268</v>
      </c>
      <c r="H36" s="10" t="s">
        <v>269</v>
      </c>
      <c r="I36" s="10" t="s">
        <v>270</v>
      </c>
      <c r="J36" s="9" t="s">
        <v>27</v>
      </c>
      <c r="K36" s="9" t="s">
        <v>28</v>
      </c>
      <c r="L36" s="61" t="s">
        <v>967</v>
      </c>
      <c r="M36" s="17">
        <v>45952</v>
      </c>
      <c r="N36" s="17">
        <v>45952</v>
      </c>
      <c r="O36" s="16">
        <v>30</v>
      </c>
      <c r="P36" s="16" t="s">
        <v>29</v>
      </c>
      <c r="Q36" s="14" t="s">
        <v>31</v>
      </c>
      <c r="R36" s="16" t="s">
        <v>31</v>
      </c>
      <c r="S36" s="16" t="s">
        <v>766</v>
      </c>
    </row>
    <row r="37" spans="1:19" ht="195" x14ac:dyDescent="0.2">
      <c r="A37" s="15" t="s">
        <v>271</v>
      </c>
      <c r="B37" s="9" t="s">
        <v>229</v>
      </c>
      <c r="C37" s="69" t="s">
        <v>272</v>
      </c>
      <c r="D37" s="9" t="s">
        <v>21</v>
      </c>
      <c r="E37" s="10" t="s">
        <v>273</v>
      </c>
      <c r="F37" s="10" t="s">
        <v>274</v>
      </c>
      <c r="G37" s="10" t="s">
        <v>275</v>
      </c>
      <c r="H37" s="10" t="s">
        <v>276</v>
      </c>
      <c r="I37" s="10" t="s">
        <v>277</v>
      </c>
      <c r="J37" s="9" t="s">
        <v>27</v>
      </c>
      <c r="K37" s="9" t="s">
        <v>28</v>
      </c>
      <c r="L37" s="61" t="s">
        <v>967</v>
      </c>
      <c r="M37" s="17">
        <v>45953</v>
      </c>
      <c r="N37" s="17">
        <v>45953</v>
      </c>
      <c r="O37" s="16">
        <v>30</v>
      </c>
      <c r="P37" s="16" t="s">
        <v>29</v>
      </c>
      <c r="Q37" s="14" t="s">
        <v>67</v>
      </c>
      <c r="R37" s="16" t="s">
        <v>67</v>
      </c>
      <c r="S37" s="16" t="s">
        <v>767</v>
      </c>
    </row>
    <row r="38" spans="1:19" ht="180" x14ac:dyDescent="0.2">
      <c r="A38" s="15" t="s">
        <v>278</v>
      </c>
      <c r="B38" s="9" t="s">
        <v>229</v>
      </c>
      <c r="C38" s="69" t="s">
        <v>279</v>
      </c>
      <c r="D38" s="9" t="s">
        <v>21</v>
      </c>
      <c r="E38" s="10" t="s">
        <v>280</v>
      </c>
      <c r="F38" s="10" t="s">
        <v>281</v>
      </c>
      <c r="G38" s="10" t="s">
        <v>282</v>
      </c>
      <c r="H38" s="10" t="s">
        <v>283</v>
      </c>
      <c r="I38" s="10" t="s">
        <v>284</v>
      </c>
      <c r="J38" s="9" t="s">
        <v>27</v>
      </c>
      <c r="K38" s="9" t="s">
        <v>28</v>
      </c>
      <c r="L38" s="61" t="s">
        <v>967</v>
      </c>
      <c r="M38" s="17">
        <v>45953</v>
      </c>
      <c r="N38" s="17">
        <v>45953</v>
      </c>
      <c r="O38" s="16">
        <v>30</v>
      </c>
      <c r="P38" s="16" t="s">
        <v>29</v>
      </c>
      <c r="Q38" s="14" t="s">
        <v>67</v>
      </c>
      <c r="R38" s="16" t="s">
        <v>67</v>
      </c>
      <c r="S38" s="16" t="s">
        <v>767</v>
      </c>
    </row>
    <row r="39" spans="1:19" ht="195" x14ac:dyDescent="0.2">
      <c r="A39" s="15" t="s">
        <v>285</v>
      </c>
      <c r="B39" s="9" t="s">
        <v>229</v>
      </c>
      <c r="C39" s="69" t="s">
        <v>286</v>
      </c>
      <c r="D39" s="9" t="s">
        <v>21</v>
      </c>
      <c r="E39" s="10" t="s">
        <v>287</v>
      </c>
      <c r="F39" s="10" t="s">
        <v>288</v>
      </c>
      <c r="G39" s="10" t="s">
        <v>289</v>
      </c>
      <c r="H39" s="10" t="s">
        <v>290</v>
      </c>
      <c r="I39" s="10" t="s">
        <v>291</v>
      </c>
      <c r="J39" s="9" t="s">
        <v>58</v>
      </c>
      <c r="K39" s="9" t="s">
        <v>28</v>
      </c>
      <c r="L39" s="61" t="s">
        <v>967</v>
      </c>
      <c r="M39" s="17">
        <v>45954</v>
      </c>
      <c r="N39" s="17">
        <v>45954</v>
      </c>
      <c r="O39" s="16">
        <v>15</v>
      </c>
      <c r="P39" s="16" t="s">
        <v>29</v>
      </c>
      <c r="Q39" s="14" t="s">
        <v>67</v>
      </c>
      <c r="R39" s="16" t="s">
        <v>67</v>
      </c>
      <c r="S39" s="16" t="s">
        <v>767</v>
      </c>
    </row>
    <row r="40" spans="1:19" ht="150" x14ac:dyDescent="0.2">
      <c r="A40" s="15" t="s">
        <v>292</v>
      </c>
      <c r="B40" s="9" t="s">
        <v>229</v>
      </c>
      <c r="C40" s="69" t="s">
        <v>293</v>
      </c>
      <c r="D40" s="9" t="s">
        <v>21</v>
      </c>
      <c r="E40" s="10" t="s">
        <v>294</v>
      </c>
      <c r="F40" s="10" t="s">
        <v>295</v>
      </c>
      <c r="G40" s="10" t="s">
        <v>296</v>
      </c>
      <c r="H40" s="10" t="s">
        <v>297</v>
      </c>
      <c r="I40" s="10" t="s">
        <v>298</v>
      </c>
      <c r="J40" s="9" t="s">
        <v>27</v>
      </c>
      <c r="K40" s="9" t="s">
        <v>28</v>
      </c>
      <c r="L40" s="61" t="s">
        <v>967</v>
      </c>
      <c r="M40" s="17">
        <v>45954</v>
      </c>
      <c r="N40" s="17">
        <v>45954</v>
      </c>
      <c r="O40" s="16">
        <v>30</v>
      </c>
      <c r="P40" s="16" t="s">
        <v>29</v>
      </c>
      <c r="Q40" s="14" t="s">
        <v>67</v>
      </c>
      <c r="R40" s="16" t="s">
        <v>67</v>
      </c>
      <c r="S40" s="16" t="s">
        <v>767</v>
      </c>
    </row>
    <row r="41" spans="1:19" ht="165" x14ac:dyDescent="0.2">
      <c r="A41" s="15" t="s">
        <v>299</v>
      </c>
      <c r="B41" s="9" t="s">
        <v>229</v>
      </c>
      <c r="C41" s="19" t="s">
        <v>300</v>
      </c>
      <c r="D41" s="9" t="s">
        <v>21</v>
      </c>
      <c r="E41" s="10" t="s">
        <v>301</v>
      </c>
      <c r="F41" s="10" t="s">
        <v>302</v>
      </c>
      <c r="G41" s="10" t="s">
        <v>303</v>
      </c>
      <c r="H41" s="10" t="s">
        <v>304</v>
      </c>
      <c r="I41" s="10" t="s">
        <v>305</v>
      </c>
      <c r="J41" s="9" t="s">
        <v>27</v>
      </c>
      <c r="K41" s="9" t="s">
        <v>28</v>
      </c>
      <c r="L41" s="61" t="s">
        <v>967</v>
      </c>
      <c r="M41" s="17">
        <v>45954</v>
      </c>
      <c r="N41" s="17">
        <v>45954</v>
      </c>
      <c r="O41" s="16">
        <v>15</v>
      </c>
      <c r="P41" s="16" t="s">
        <v>29</v>
      </c>
      <c r="Q41" s="14" t="s">
        <v>30</v>
      </c>
      <c r="R41" s="16" t="s">
        <v>31</v>
      </c>
      <c r="S41" s="16" t="s">
        <v>766</v>
      </c>
    </row>
    <row r="42" spans="1:19" ht="195" x14ac:dyDescent="0.2">
      <c r="A42" s="15" t="s">
        <v>306</v>
      </c>
      <c r="B42" s="9" t="s">
        <v>229</v>
      </c>
      <c r="C42" s="19" t="s">
        <v>307</v>
      </c>
      <c r="D42" s="9" t="s">
        <v>21</v>
      </c>
      <c r="E42" s="10" t="s">
        <v>308</v>
      </c>
      <c r="F42" s="10" t="s">
        <v>309</v>
      </c>
      <c r="G42" s="10" t="s">
        <v>310</v>
      </c>
      <c r="H42" s="10" t="s">
        <v>311</v>
      </c>
      <c r="I42" s="10" t="s">
        <v>312</v>
      </c>
      <c r="J42" s="9" t="s">
        <v>27</v>
      </c>
      <c r="K42" s="9" t="s">
        <v>28</v>
      </c>
      <c r="L42" s="61" t="s">
        <v>967</v>
      </c>
      <c r="M42" s="17">
        <v>45954</v>
      </c>
      <c r="N42" s="17">
        <v>45954</v>
      </c>
      <c r="O42" s="16">
        <v>30</v>
      </c>
      <c r="P42" s="16" t="s">
        <v>29</v>
      </c>
      <c r="Q42" s="14" t="s">
        <v>31</v>
      </c>
      <c r="R42" s="16" t="s">
        <v>31</v>
      </c>
      <c r="S42" s="16" t="s">
        <v>766</v>
      </c>
    </row>
    <row r="43" spans="1:19" ht="225" x14ac:dyDescent="0.2">
      <c r="A43" s="15" t="s">
        <v>313</v>
      </c>
      <c r="B43" s="9" t="s">
        <v>229</v>
      </c>
      <c r="C43" s="19" t="s">
        <v>314</v>
      </c>
      <c r="D43" s="9" t="s">
        <v>21</v>
      </c>
      <c r="E43" s="10" t="s">
        <v>315</v>
      </c>
      <c r="F43" s="10" t="s">
        <v>316</v>
      </c>
      <c r="G43" s="10" t="s">
        <v>317</v>
      </c>
      <c r="H43" s="10" t="s">
        <v>318</v>
      </c>
      <c r="I43" s="10" t="s">
        <v>319</v>
      </c>
      <c r="J43" s="9" t="s">
        <v>27</v>
      </c>
      <c r="K43" s="9" t="s">
        <v>28</v>
      </c>
      <c r="L43" s="61" t="s">
        <v>967</v>
      </c>
      <c r="M43" s="17">
        <v>45954</v>
      </c>
      <c r="N43" s="17">
        <v>45954</v>
      </c>
      <c r="O43" s="16">
        <v>100</v>
      </c>
      <c r="P43" s="16" t="s">
        <v>29</v>
      </c>
      <c r="Q43" s="14" t="s">
        <v>31</v>
      </c>
      <c r="R43" s="16" t="s">
        <v>31</v>
      </c>
      <c r="S43" s="16" t="s">
        <v>766</v>
      </c>
    </row>
    <row r="44" spans="1:19" ht="390" x14ac:dyDescent="0.2">
      <c r="A44" s="15" t="s">
        <v>320</v>
      </c>
      <c r="B44" s="9" t="s">
        <v>229</v>
      </c>
      <c r="C44" s="19" t="s">
        <v>321</v>
      </c>
      <c r="D44" s="9" t="s">
        <v>61</v>
      </c>
      <c r="E44" s="10" t="s">
        <v>322</v>
      </c>
      <c r="F44" s="10" t="s">
        <v>323</v>
      </c>
      <c r="G44" s="10" t="s">
        <v>324</v>
      </c>
      <c r="H44" s="10" t="s">
        <v>325</v>
      </c>
      <c r="I44" s="10" t="s">
        <v>326</v>
      </c>
      <c r="J44" s="9" t="s">
        <v>27</v>
      </c>
      <c r="K44" s="9" t="s">
        <v>44</v>
      </c>
      <c r="L44" s="61" t="s">
        <v>967</v>
      </c>
      <c r="M44" s="17">
        <v>45954</v>
      </c>
      <c r="N44" s="17">
        <v>45954</v>
      </c>
      <c r="O44" s="16">
        <v>25</v>
      </c>
      <c r="P44" s="16" t="s">
        <v>29</v>
      </c>
      <c r="Q44" s="14" t="s">
        <v>31</v>
      </c>
      <c r="R44" s="16" t="s">
        <v>31</v>
      </c>
      <c r="S44" s="16" t="s">
        <v>766</v>
      </c>
    </row>
    <row r="45" spans="1:19" ht="120" x14ac:dyDescent="0.2">
      <c r="A45" s="15" t="s">
        <v>327</v>
      </c>
      <c r="B45" s="9" t="s">
        <v>229</v>
      </c>
      <c r="C45" s="9" t="s">
        <v>328</v>
      </c>
      <c r="D45" s="9" t="s">
        <v>98</v>
      </c>
      <c r="E45" s="10" t="s">
        <v>329</v>
      </c>
      <c r="F45" s="10" t="s">
        <v>330</v>
      </c>
      <c r="G45" s="10" t="s">
        <v>331</v>
      </c>
      <c r="H45" s="10" t="s">
        <v>332</v>
      </c>
      <c r="I45" s="10" t="s">
        <v>333</v>
      </c>
      <c r="J45" s="9" t="s">
        <v>180</v>
      </c>
      <c r="K45" s="9" t="s">
        <v>28</v>
      </c>
      <c r="L45" s="61" t="s">
        <v>967</v>
      </c>
      <c r="M45" s="17">
        <v>45956</v>
      </c>
      <c r="N45" s="16"/>
      <c r="O45" s="16"/>
      <c r="P45" s="16" t="s">
        <v>29</v>
      </c>
      <c r="Q45" s="14" t="s">
        <v>31</v>
      </c>
      <c r="R45" s="16" t="s">
        <v>31</v>
      </c>
      <c r="S45" s="16" t="s">
        <v>766</v>
      </c>
    </row>
    <row r="46" spans="1:19" ht="210" x14ac:dyDescent="0.2">
      <c r="A46" s="15" t="s">
        <v>335</v>
      </c>
      <c r="B46" s="9" t="s">
        <v>336</v>
      </c>
      <c r="C46" s="19" t="s">
        <v>337</v>
      </c>
      <c r="D46" s="9" t="s">
        <v>61</v>
      </c>
      <c r="E46" s="10" t="s">
        <v>338</v>
      </c>
      <c r="F46" s="10" t="s">
        <v>339</v>
      </c>
      <c r="G46" s="10" t="s">
        <v>340</v>
      </c>
      <c r="H46" s="10" t="s">
        <v>341</v>
      </c>
      <c r="I46" s="10" t="s">
        <v>342</v>
      </c>
      <c r="J46" s="9" t="s">
        <v>27</v>
      </c>
      <c r="K46" s="9" t="s">
        <v>44</v>
      </c>
      <c r="L46" s="61" t="s">
        <v>967</v>
      </c>
      <c r="M46" s="17">
        <v>45955</v>
      </c>
      <c r="N46" s="16"/>
      <c r="O46" s="16">
        <v>35</v>
      </c>
      <c r="P46" s="16" t="s">
        <v>29</v>
      </c>
      <c r="Q46" s="14" t="s">
        <v>31</v>
      </c>
      <c r="R46" s="16" t="s">
        <v>31</v>
      </c>
      <c r="S46" s="16" t="s">
        <v>766</v>
      </c>
    </row>
    <row r="47" spans="1:19" ht="105" x14ac:dyDescent="0.2">
      <c r="A47" s="15" t="s">
        <v>343</v>
      </c>
      <c r="B47" s="9" t="s">
        <v>344</v>
      </c>
      <c r="C47" s="69" t="s">
        <v>345</v>
      </c>
      <c r="D47" s="9" t="s">
        <v>183</v>
      </c>
      <c r="E47" s="10" t="s">
        <v>346</v>
      </c>
      <c r="F47" s="10" t="s">
        <v>347</v>
      </c>
      <c r="G47" s="10" t="s">
        <v>348</v>
      </c>
      <c r="H47" s="10" t="s">
        <v>349</v>
      </c>
      <c r="I47" s="10" t="s">
        <v>350</v>
      </c>
      <c r="J47" s="9" t="s">
        <v>27</v>
      </c>
      <c r="K47" s="9" t="s">
        <v>44</v>
      </c>
      <c r="L47" s="61" t="s">
        <v>967</v>
      </c>
      <c r="M47" s="17">
        <v>45952</v>
      </c>
      <c r="N47" s="17">
        <v>45952</v>
      </c>
      <c r="O47" s="16">
        <v>120</v>
      </c>
      <c r="P47" s="16" t="s">
        <v>160</v>
      </c>
      <c r="Q47" s="14" t="s">
        <v>67</v>
      </c>
      <c r="R47" s="16" t="s">
        <v>67</v>
      </c>
      <c r="S47" s="16" t="s">
        <v>767</v>
      </c>
    </row>
    <row r="48" spans="1:19" ht="165" x14ac:dyDescent="0.2">
      <c r="A48" s="15" t="s">
        <v>351</v>
      </c>
      <c r="B48" s="9" t="s">
        <v>344</v>
      </c>
      <c r="C48" s="69" t="s">
        <v>352</v>
      </c>
      <c r="D48" s="9" t="s">
        <v>183</v>
      </c>
      <c r="E48" s="10" t="s">
        <v>353</v>
      </c>
      <c r="F48" s="10" t="s">
        <v>354</v>
      </c>
      <c r="G48" s="10" t="s">
        <v>355</v>
      </c>
      <c r="H48" s="10" t="s">
        <v>356</v>
      </c>
      <c r="I48" s="10" t="s">
        <v>357</v>
      </c>
      <c r="J48" s="9" t="s">
        <v>27</v>
      </c>
      <c r="K48" s="9" t="s">
        <v>28</v>
      </c>
      <c r="L48" s="61" t="s">
        <v>967</v>
      </c>
      <c r="M48" s="17">
        <v>45952</v>
      </c>
      <c r="N48" s="17">
        <v>45952</v>
      </c>
      <c r="O48" s="16">
        <v>120</v>
      </c>
      <c r="P48" s="16" t="s">
        <v>160</v>
      </c>
      <c r="Q48" s="14" t="s">
        <v>67</v>
      </c>
      <c r="R48" s="16" t="s">
        <v>67</v>
      </c>
      <c r="S48" s="16" t="s">
        <v>767</v>
      </c>
    </row>
    <row r="49" spans="1:19" ht="90" x14ac:dyDescent="0.2">
      <c r="A49" s="15" t="s">
        <v>358</v>
      </c>
      <c r="B49" s="9" t="s">
        <v>344</v>
      </c>
      <c r="C49" s="69" t="s">
        <v>359</v>
      </c>
      <c r="D49" s="9" t="s">
        <v>183</v>
      </c>
      <c r="E49" s="10" t="s">
        <v>360</v>
      </c>
      <c r="F49" s="10" t="s">
        <v>969</v>
      </c>
      <c r="G49" s="10" t="s">
        <v>361</v>
      </c>
      <c r="H49" s="10" t="s">
        <v>362</v>
      </c>
      <c r="I49" s="10" t="s">
        <v>363</v>
      </c>
      <c r="J49" s="9" t="s">
        <v>27</v>
      </c>
      <c r="K49" s="9" t="s">
        <v>44</v>
      </c>
      <c r="L49" s="61" t="s">
        <v>967</v>
      </c>
      <c r="M49" s="17">
        <v>45952</v>
      </c>
      <c r="N49" s="17">
        <v>45952</v>
      </c>
      <c r="O49" s="16"/>
      <c r="P49" s="16" t="s">
        <v>160</v>
      </c>
      <c r="Q49" s="14" t="s">
        <v>67</v>
      </c>
      <c r="R49" s="16" t="s">
        <v>67</v>
      </c>
      <c r="S49" s="16" t="s">
        <v>767</v>
      </c>
    </row>
    <row r="50" spans="1:19" ht="75" x14ac:dyDescent="0.2">
      <c r="A50" s="15" t="s">
        <v>364</v>
      </c>
      <c r="B50" s="9" t="s">
        <v>344</v>
      </c>
      <c r="C50" s="69" t="s">
        <v>365</v>
      </c>
      <c r="D50" s="9" t="s">
        <v>183</v>
      </c>
      <c r="E50" s="10" t="s">
        <v>366</v>
      </c>
      <c r="F50" s="10" t="s">
        <v>367</v>
      </c>
      <c r="G50" s="10" t="s">
        <v>368</v>
      </c>
      <c r="H50" s="10" t="s">
        <v>369</v>
      </c>
      <c r="I50" s="10" t="s">
        <v>370</v>
      </c>
      <c r="J50" s="9" t="s">
        <v>27</v>
      </c>
      <c r="K50" s="9" t="s">
        <v>44</v>
      </c>
      <c r="L50" s="61" t="s">
        <v>967</v>
      </c>
      <c r="M50" s="17">
        <v>45952</v>
      </c>
      <c r="N50" s="17">
        <v>45952</v>
      </c>
      <c r="O50" s="16"/>
      <c r="P50" s="16" t="s">
        <v>160</v>
      </c>
      <c r="Q50" s="14" t="s">
        <v>67</v>
      </c>
      <c r="R50" s="16" t="s">
        <v>67</v>
      </c>
      <c r="S50" s="16" t="s">
        <v>767</v>
      </c>
    </row>
    <row r="51" spans="1:19" ht="60" x14ac:dyDescent="0.2">
      <c r="A51" s="15" t="s">
        <v>371</v>
      </c>
      <c r="B51" s="9" t="s">
        <v>372</v>
      </c>
      <c r="C51" s="19" t="s">
        <v>373</v>
      </c>
      <c r="D51" s="9" t="s">
        <v>70</v>
      </c>
      <c r="E51" s="10" t="s">
        <v>374</v>
      </c>
      <c r="F51" s="10" t="s">
        <v>375</v>
      </c>
      <c r="G51" s="10" t="s">
        <v>376</v>
      </c>
      <c r="H51" s="10" t="s">
        <v>377</v>
      </c>
      <c r="I51" s="10" t="s">
        <v>378</v>
      </c>
      <c r="J51" s="9" t="s">
        <v>180</v>
      </c>
      <c r="K51" s="9" t="s">
        <v>28</v>
      </c>
      <c r="L51" s="61" t="s">
        <v>967</v>
      </c>
      <c r="M51" s="17">
        <v>45952</v>
      </c>
      <c r="N51" s="17">
        <v>45952</v>
      </c>
      <c r="O51" s="16">
        <v>25</v>
      </c>
      <c r="P51" s="16" t="s">
        <v>160</v>
      </c>
      <c r="Q51" s="14" t="s">
        <v>30</v>
      </c>
      <c r="R51" s="16" t="s">
        <v>31</v>
      </c>
      <c r="S51" s="16" t="s">
        <v>766</v>
      </c>
    </row>
    <row r="52" spans="1:19" ht="30" x14ac:dyDescent="0.2">
      <c r="A52" s="15" t="s">
        <v>379</v>
      </c>
      <c r="B52" s="9" t="s">
        <v>372</v>
      </c>
      <c r="C52" s="19" t="s">
        <v>380</v>
      </c>
      <c r="D52" s="9" t="s">
        <v>98</v>
      </c>
      <c r="E52" s="10" t="s">
        <v>381</v>
      </c>
      <c r="F52" s="10" t="s">
        <v>382</v>
      </c>
      <c r="G52" s="10" t="s">
        <v>383</v>
      </c>
      <c r="H52" s="10" t="s">
        <v>384</v>
      </c>
      <c r="I52" s="10" t="s">
        <v>385</v>
      </c>
      <c r="J52" s="9" t="s">
        <v>27</v>
      </c>
      <c r="K52" s="9" t="s">
        <v>28</v>
      </c>
      <c r="L52" s="61" t="s">
        <v>967</v>
      </c>
      <c r="M52" s="17">
        <v>45952</v>
      </c>
      <c r="N52" s="17">
        <v>45952</v>
      </c>
      <c r="O52" s="16">
        <v>20</v>
      </c>
      <c r="P52" s="16" t="s">
        <v>160</v>
      </c>
      <c r="Q52" s="14" t="s">
        <v>30</v>
      </c>
      <c r="R52" s="16" t="s">
        <v>31</v>
      </c>
      <c r="S52" s="16" t="s">
        <v>766</v>
      </c>
    </row>
    <row r="53" spans="1:19" ht="30" x14ac:dyDescent="0.2">
      <c r="A53" s="15" t="s">
        <v>386</v>
      </c>
      <c r="B53" s="9" t="s">
        <v>372</v>
      </c>
      <c r="C53" s="19" t="s">
        <v>387</v>
      </c>
      <c r="D53" s="9" t="s">
        <v>98</v>
      </c>
      <c r="E53" s="10" t="s">
        <v>388</v>
      </c>
      <c r="F53" s="10" t="s">
        <v>389</v>
      </c>
      <c r="G53" s="10" t="s">
        <v>390</v>
      </c>
      <c r="H53" s="10" t="s">
        <v>391</v>
      </c>
      <c r="I53" s="10" t="s">
        <v>392</v>
      </c>
      <c r="J53" s="9" t="s">
        <v>27</v>
      </c>
      <c r="K53" s="9" t="s">
        <v>28</v>
      </c>
      <c r="L53" s="61" t="s">
        <v>967</v>
      </c>
      <c r="M53" s="17">
        <v>45952</v>
      </c>
      <c r="N53" s="17">
        <v>45952</v>
      </c>
      <c r="O53" s="16">
        <v>20</v>
      </c>
      <c r="P53" s="16" t="s">
        <v>160</v>
      </c>
      <c r="Q53" s="14" t="s">
        <v>30</v>
      </c>
      <c r="R53" s="16" t="s">
        <v>31</v>
      </c>
      <c r="S53" s="16" t="s">
        <v>766</v>
      </c>
    </row>
    <row r="54" spans="1:19" ht="45" x14ac:dyDescent="0.2">
      <c r="A54" s="15" t="s">
        <v>393</v>
      </c>
      <c r="B54" s="9" t="s">
        <v>372</v>
      </c>
      <c r="C54" s="70" t="s">
        <v>394</v>
      </c>
      <c r="D54" s="9" t="s">
        <v>98</v>
      </c>
      <c r="E54" s="10" t="s">
        <v>395</v>
      </c>
      <c r="F54" s="10" t="s">
        <v>396</v>
      </c>
      <c r="G54" s="10" t="s">
        <v>397</v>
      </c>
      <c r="H54" s="10" t="s">
        <v>398</v>
      </c>
      <c r="I54" s="10" t="s">
        <v>399</v>
      </c>
      <c r="J54" s="9" t="s">
        <v>180</v>
      </c>
      <c r="K54" s="9" t="s">
        <v>28</v>
      </c>
      <c r="L54" s="61" t="s">
        <v>967</v>
      </c>
      <c r="M54" s="17">
        <v>45952</v>
      </c>
      <c r="N54" s="17">
        <v>45952</v>
      </c>
      <c r="O54" s="16">
        <v>20</v>
      </c>
      <c r="P54" s="16" t="s">
        <v>160</v>
      </c>
      <c r="Q54" s="14" t="s">
        <v>30</v>
      </c>
      <c r="R54" s="16" t="s">
        <v>31</v>
      </c>
      <c r="S54" s="16" t="s">
        <v>766</v>
      </c>
    </row>
    <row r="55" spans="1:19" ht="30" x14ac:dyDescent="0.2">
      <c r="A55" s="15" t="s">
        <v>400</v>
      </c>
      <c r="B55" s="9" t="s">
        <v>372</v>
      </c>
      <c r="C55" s="19" t="s">
        <v>401</v>
      </c>
      <c r="D55" s="9" t="s">
        <v>61</v>
      </c>
      <c r="E55" s="10" t="s">
        <v>402</v>
      </c>
      <c r="F55" s="10" t="s">
        <v>403</v>
      </c>
      <c r="G55" s="10" t="s">
        <v>404</v>
      </c>
      <c r="H55" s="10" t="s">
        <v>405</v>
      </c>
      <c r="I55" s="10" t="s">
        <v>406</v>
      </c>
      <c r="J55" s="9" t="s">
        <v>27</v>
      </c>
      <c r="K55" s="9" t="s">
        <v>44</v>
      </c>
      <c r="L55" s="61" t="s">
        <v>967</v>
      </c>
      <c r="M55" s="17">
        <v>45953</v>
      </c>
      <c r="N55" s="17">
        <v>45953</v>
      </c>
      <c r="O55" s="16">
        <v>20</v>
      </c>
      <c r="P55" s="16" t="s">
        <v>160</v>
      </c>
      <c r="Q55" s="14" t="s">
        <v>30</v>
      </c>
      <c r="R55" s="16" t="s">
        <v>31</v>
      </c>
      <c r="S55" s="16" t="s">
        <v>766</v>
      </c>
    </row>
    <row r="56" spans="1:19" ht="30" x14ac:dyDescent="0.2">
      <c r="A56" s="15" t="s">
        <v>407</v>
      </c>
      <c r="B56" s="9" t="s">
        <v>372</v>
      </c>
      <c r="C56" s="19" t="s">
        <v>408</v>
      </c>
      <c r="D56" s="9" t="s">
        <v>61</v>
      </c>
      <c r="E56" s="10" t="s">
        <v>409</v>
      </c>
      <c r="F56" s="10" t="s">
        <v>410</v>
      </c>
      <c r="G56" s="10" t="s">
        <v>411</v>
      </c>
      <c r="H56" s="10" t="s">
        <v>412</v>
      </c>
      <c r="I56" s="10" t="s">
        <v>413</v>
      </c>
      <c r="J56" s="9" t="s">
        <v>180</v>
      </c>
      <c r="K56" s="9" t="s">
        <v>28</v>
      </c>
      <c r="L56" s="61" t="s">
        <v>967</v>
      </c>
      <c r="M56" s="17">
        <v>45953</v>
      </c>
      <c r="N56" s="17">
        <v>45953</v>
      </c>
      <c r="O56" s="16">
        <v>20</v>
      </c>
      <c r="P56" s="16" t="s">
        <v>160</v>
      </c>
      <c r="Q56" s="14" t="s">
        <v>30</v>
      </c>
      <c r="R56" s="16" t="s">
        <v>31</v>
      </c>
      <c r="S56" s="16" t="s">
        <v>766</v>
      </c>
    </row>
    <row r="57" spans="1:19" ht="105" x14ac:dyDescent="0.2">
      <c r="A57" s="15" t="s">
        <v>414</v>
      </c>
      <c r="B57" s="9" t="s">
        <v>415</v>
      </c>
      <c r="C57" s="19" t="s">
        <v>416</v>
      </c>
      <c r="D57" s="9" t="s">
        <v>98</v>
      </c>
      <c r="E57" s="10" t="s">
        <v>417</v>
      </c>
      <c r="F57" s="10" t="s">
        <v>418</v>
      </c>
      <c r="G57" s="10" t="s">
        <v>419</v>
      </c>
      <c r="H57" s="10" t="s">
        <v>420</v>
      </c>
      <c r="I57" s="10" t="s">
        <v>421</v>
      </c>
      <c r="J57" s="9" t="s">
        <v>27</v>
      </c>
      <c r="K57" s="9" t="s">
        <v>28</v>
      </c>
      <c r="L57" s="61" t="s">
        <v>967</v>
      </c>
      <c r="M57" s="17">
        <v>45953</v>
      </c>
      <c r="N57" s="17">
        <v>45953</v>
      </c>
      <c r="O57" s="16">
        <v>15</v>
      </c>
      <c r="P57" s="16" t="s">
        <v>160</v>
      </c>
      <c r="Q57" s="14" t="s">
        <v>30</v>
      </c>
      <c r="R57" s="16" t="s">
        <v>31</v>
      </c>
      <c r="S57" s="16" t="s">
        <v>766</v>
      </c>
    </row>
    <row r="58" spans="1:19" ht="45" x14ac:dyDescent="0.2">
      <c r="A58" s="15" t="s">
        <v>422</v>
      </c>
      <c r="B58" s="9" t="s">
        <v>415</v>
      </c>
      <c r="C58" s="19" t="s">
        <v>423</v>
      </c>
      <c r="D58" s="9" t="s">
        <v>98</v>
      </c>
      <c r="E58" s="10" t="s">
        <v>424</v>
      </c>
      <c r="F58" s="10" t="s">
        <v>425</v>
      </c>
      <c r="G58" s="10" t="s">
        <v>426</v>
      </c>
      <c r="H58" s="10" t="s">
        <v>420</v>
      </c>
      <c r="I58" s="10" t="s">
        <v>427</v>
      </c>
      <c r="J58" s="9" t="s">
        <v>180</v>
      </c>
      <c r="K58" s="9" t="s">
        <v>44</v>
      </c>
      <c r="L58" s="61" t="s">
        <v>967</v>
      </c>
      <c r="M58" s="17">
        <v>45953</v>
      </c>
      <c r="N58" s="17">
        <v>45953</v>
      </c>
      <c r="O58" s="16">
        <v>20</v>
      </c>
      <c r="P58" s="16" t="s">
        <v>160</v>
      </c>
      <c r="Q58" s="14" t="s">
        <v>30</v>
      </c>
      <c r="R58" s="16" t="s">
        <v>31</v>
      </c>
      <c r="S58" s="16" t="s">
        <v>766</v>
      </c>
    </row>
    <row r="59" spans="1:19" ht="45" x14ac:dyDescent="0.2">
      <c r="A59" s="15" t="s">
        <v>428</v>
      </c>
      <c r="B59" s="9" t="s">
        <v>415</v>
      </c>
      <c r="C59" s="19" t="s">
        <v>429</v>
      </c>
      <c r="D59" s="9" t="s">
        <v>98</v>
      </c>
      <c r="E59" s="10" t="s">
        <v>430</v>
      </c>
      <c r="F59" s="10" t="s">
        <v>431</v>
      </c>
      <c r="G59" s="10" t="s">
        <v>432</v>
      </c>
      <c r="H59" s="10" t="s">
        <v>433</v>
      </c>
      <c r="I59" s="10" t="s">
        <v>434</v>
      </c>
      <c r="J59" s="9" t="s">
        <v>58</v>
      </c>
      <c r="K59" s="9" t="s">
        <v>28</v>
      </c>
      <c r="L59" s="61" t="s">
        <v>967</v>
      </c>
      <c r="M59" s="17">
        <v>45954</v>
      </c>
      <c r="N59" s="17">
        <v>45954</v>
      </c>
      <c r="O59" s="16">
        <v>15</v>
      </c>
      <c r="P59" s="16" t="s">
        <v>160</v>
      </c>
      <c r="Q59" s="14" t="s">
        <v>30</v>
      </c>
      <c r="R59" s="16" t="s">
        <v>31</v>
      </c>
      <c r="S59" s="16" t="s">
        <v>766</v>
      </c>
    </row>
    <row r="60" spans="1:19" ht="45" x14ac:dyDescent="0.2">
      <c r="A60" s="15" t="s">
        <v>435</v>
      </c>
      <c r="B60" s="9" t="s">
        <v>415</v>
      </c>
      <c r="C60" s="19" t="s">
        <v>436</v>
      </c>
      <c r="D60" s="9" t="s">
        <v>98</v>
      </c>
      <c r="E60" s="10" t="s">
        <v>437</v>
      </c>
      <c r="F60" s="10" t="s">
        <v>438</v>
      </c>
      <c r="G60" s="10" t="s">
        <v>439</v>
      </c>
      <c r="H60" s="10" t="s">
        <v>440</v>
      </c>
      <c r="I60" s="10" t="s">
        <v>441</v>
      </c>
      <c r="J60" s="9" t="s">
        <v>27</v>
      </c>
      <c r="K60" s="9" t="s">
        <v>28</v>
      </c>
      <c r="L60" s="61" t="s">
        <v>967</v>
      </c>
      <c r="M60" s="17">
        <v>45954</v>
      </c>
      <c r="N60" s="17">
        <v>45954</v>
      </c>
      <c r="O60" s="16">
        <v>15</v>
      </c>
      <c r="P60" s="16" t="s">
        <v>160</v>
      </c>
      <c r="Q60" s="14" t="s">
        <v>30</v>
      </c>
      <c r="R60" s="16" t="s">
        <v>31</v>
      </c>
      <c r="S60" s="16" t="s">
        <v>766</v>
      </c>
    </row>
    <row r="61" spans="1:19" ht="45" x14ac:dyDescent="0.2">
      <c r="A61" s="15" t="s">
        <v>442</v>
      </c>
      <c r="B61" s="9" t="s">
        <v>415</v>
      </c>
      <c r="C61" s="70" t="s">
        <v>443</v>
      </c>
      <c r="D61" s="9" t="s">
        <v>61</v>
      </c>
      <c r="E61" s="10" t="s">
        <v>444</v>
      </c>
      <c r="F61" s="10" t="s">
        <v>445</v>
      </c>
      <c r="G61" s="10" t="s">
        <v>446</v>
      </c>
      <c r="H61" s="10" t="s">
        <v>64</v>
      </c>
      <c r="I61" s="10" t="s">
        <v>447</v>
      </c>
      <c r="J61" s="9" t="s">
        <v>180</v>
      </c>
      <c r="K61" s="9" t="s">
        <v>28</v>
      </c>
      <c r="L61" s="61" t="s">
        <v>967</v>
      </c>
      <c r="M61" s="17">
        <v>45954</v>
      </c>
      <c r="N61" s="17">
        <v>45954</v>
      </c>
      <c r="O61" s="16">
        <v>30</v>
      </c>
      <c r="P61" s="16" t="s">
        <v>160</v>
      </c>
      <c r="Q61" s="14" t="s">
        <v>30</v>
      </c>
      <c r="R61" s="16" t="s">
        <v>31</v>
      </c>
      <c r="S61" s="16" t="s">
        <v>766</v>
      </c>
    </row>
    <row r="62" spans="1:19" ht="60" x14ac:dyDescent="0.2">
      <c r="A62" s="15" t="s">
        <v>448</v>
      </c>
      <c r="B62" s="9" t="s">
        <v>449</v>
      </c>
      <c r="C62" s="69" t="s">
        <v>450</v>
      </c>
      <c r="D62" s="9" t="s">
        <v>21</v>
      </c>
      <c r="E62" s="10" t="s">
        <v>451</v>
      </c>
      <c r="F62" s="10" t="s">
        <v>452</v>
      </c>
      <c r="G62" s="10" t="s">
        <v>453</v>
      </c>
      <c r="H62" s="10" t="s">
        <v>64</v>
      </c>
      <c r="I62" s="10" t="s">
        <v>454</v>
      </c>
      <c r="J62" s="9" t="s">
        <v>58</v>
      </c>
      <c r="K62" s="9" t="s">
        <v>28</v>
      </c>
      <c r="L62" s="61" t="s">
        <v>967</v>
      </c>
      <c r="M62" s="17">
        <v>45954</v>
      </c>
      <c r="N62" s="17">
        <v>45954</v>
      </c>
      <c r="O62" s="16">
        <v>15</v>
      </c>
      <c r="P62" s="16" t="s">
        <v>160</v>
      </c>
      <c r="Q62" s="14" t="s">
        <v>67</v>
      </c>
      <c r="R62" s="16" t="s">
        <v>67</v>
      </c>
      <c r="S62" s="16" t="s">
        <v>768</v>
      </c>
    </row>
    <row r="63" spans="1:19" ht="60" x14ac:dyDescent="0.2">
      <c r="A63" s="15" t="s">
        <v>455</v>
      </c>
      <c r="B63" s="9" t="s">
        <v>449</v>
      </c>
      <c r="C63" s="69" t="s">
        <v>456</v>
      </c>
      <c r="D63" s="9" t="s">
        <v>61</v>
      </c>
      <c r="E63" s="10" t="s">
        <v>457</v>
      </c>
      <c r="F63" s="10" t="s">
        <v>458</v>
      </c>
      <c r="G63" s="10" t="s">
        <v>459</v>
      </c>
      <c r="H63" s="10" t="s">
        <v>460</v>
      </c>
      <c r="I63" s="10" t="s">
        <v>461</v>
      </c>
      <c r="J63" s="9" t="s">
        <v>27</v>
      </c>
      <c r="K63" s="9" t="s">
        <v>44</v>
      </c>
      <c r="L63" s="61" t="s">
        <v>967</v>
      </c>
      <c r="M63" s="17">
        <v>45954</v>
      </c>
      <c r="N63" s="17">
        <v>45954</v>
      </c>
      <c r="O63" s="16">
        <v>30</v>
      </c>
      <c r="P63" s="16" t="s">
        <v>160</v>
      </c>
      <c r="Q63" s="14" t="s">
        <v>67</v>
      </c>
      <c r="R63" s="16" t="s">
        <v>67</v>
      </c>
      <c r="S63" s="16" t="s">
        <v>768</v>
      </c>
    </row>
    <row r="64" spans="1:19" ht="135" x14ac:dyDescent="0.2">
      <c r="A64" s="15" t="s">
        <v>462</v>
      </c>
      <c r="B64" s="9" t="s">
        <v>463</v>
      </c>
      <c r="C64" s="19" t="s">
        <v>464</v>
      </c>
      <c r="D64" s="9" t="s">
        <v>21</v>
      </c>
      <c r="E64" s="10" t="s">
        <v>465</v>
      </c>
      <c r="F64" s="10" t="s">
        <v>466</v>
      </c>
      <c r="G64" s="10" t="s">
        <v>467</v>
      </c>
      <c r="H64" s="10" t="s">
        <v>64</v>
      </c>
      <c r="I64" s="10" t="s">
        <v>468</v>
      </c>
      <c r="J64" s="9" t="s">
        <v>27</v>
      </c>
      <c r="K64" s="9" t="s">
        <v>28</v>
      </c>
      <c r="L64" s="61" t="s">
        <v>967</v>
      </c>
      <c r="M64" s="17">
        <v>45956</v>
      </c>
      <c r="N64" s="17">
        <v>45956</v>
      </c>
      <c r="O64" s="16">
        <v>30</v>
      </c>
      <c r="P64" s="16" t="s">
        <v>160</v>
      </c>
      <c r="Q64" s="14" t="s">
        <v>31</v>
      </c>
      <c r="R64" s="16" t="s">
        <v>31</v>
      </c>
      <c r="S64" s="16" t="s">
        <v>767</v>
      </c>
    </row>
    <row r="65" spans="1:19" ht="135" x14ac:dyDescent="0.2">
      <c r="A65" s="15" t="s">
        <v>469</v>
      </c>
      <c r="B65" s="9" t="s">
        <v>463</v>
      </c>
      <c r="C65" s="9" t="s">
        <v>470</v>
      </c>
      <c r="D65" s="9" t="s">
        <v>21</v>
      </c>
      <c r="E65" s="10" t="s">
        <v>471</v>
      </c>
      <c r="F65" s="10" t="s">
        <v>472</v>
      </c>
      <c r="G65" s="10" t="s">
        <v>473</v>
      </c>
      <c r="H65" s="10" t="s">
        <v>474</v>
      </c>
      <c r="I65" s="10" t="s">
        <v>475</v>
      </c>
      <c r="J65" s="9" t="s">
        <v>27</v>
      </c>
      <c r="K65" s="9" t="s">
        <v>28</v>
      </c>
      <c r="L65" s="61" t="s">
        <v>967</v>
      </c>
      <c r="M65" s="17">
        <v>45956</v>
      </c>
      <c r="N65" s="17">
        <v>45956</v>
      </c>
      <c r="O65" s="16">
        <v>30</v>
      </c>
      <c r="P65" s="16" t="s">
        <v>160</v>
      </c>
      <c r="Q65" s="14" t="s">
        <v>31</v>
      </c>
      <c r="R65" s="16" t="s">
        <v>31</v>
      </c>
      <c r="S65" s="16" t="s">
        <v>767</v>
      </c>
    </row>
    <row r="66" spans="1:19" ht="105" x14ac:dyDescent="0.2">
      <c r="A66" s="15" t="s">
        <v>476</v>
      </c>
      <c r="B66" s="9" t="s">
        <v>477</v>
      </c>
      <c r="C66" s="9" t="s">
        <v>478</v>
      </c>
      <c r="D66" s="9" t="s">
        <v>21</v>
      </c>
      <c r="E66" s="11" t="s">
        <v>479</v>
      </c>
      <c r="F66" s="10" t="s">
        <v>480</v>
      </c>
      <c r="G66" s="10" t="s">
        <v>481</v>
      </c>
      <c r="H66" s="10" t="s">
        <v>482</v>
      </c>
      <c r="I66" s="10" t="s">
        <v>483</v>
      </c>
      <c r="J66" s="9" t="s">
        <v>27</v>
      </c>
      <c r="K66" s="9" t="s">
        <v>28</v>
      </c>
      <c r="L66" s="61" t="s">
        <v>967</v>
      </c>
      <c r="M66" s="17">
        <v>45952</v>
      </c>
      <c r="N66" s="16"/>
      <c r="O66" s="16">
        <v>20</v>
      </c>
      <c r="P66" s="16" t="s">
        <v>112</v>
      </c>
      <c r="Q66" s="14" t="s">
        <v>31</v>
      </c>
      <c r="R66" s="16" t="s">
        <v>31</v>
      </c>
      <c r="S66" s="16" t="s">
        <v>767</v>
      </c>
    </row>
    <row r="67" spans="1:19" ht="111.6" customHeight="1" x14ac:dyDescent="0.2">
      <c r="A67" s="15" t="s">
        <v>484</v>
      </c>
      <c r="B67" s="9" t="s">
        <v>477</v>
      </c>
      <c r="C67" s="9" t="s">
        <v>485</v>
      </c>
      <c r="D67" s="9" t="s">
        <v>21</v>
      </c>
      <c r="E67" s="11" t="s">
        <v>486</v>
      </c>
      <c r="F67" s="10" t="s">
        <v>487</v>
      </c>
      <c r="G67" s="10" t="s">
        <v>488</v>
      </c>
      <c r="H67" s="10" t="s">
        <v>64</v>
      </c>
      <c r="I67" s="10" t="s">
        <v>489</v>
      </c>
      <c r="J67" s="9" t="s">
        <v>58</v>
      </c>
      <c r="K67" s="9" t="s">
        <v>28</v>
      </c>
      <c r="L67" s="61" t="s">
        <v>967</v>
      </c>
      <c r="M67" s="17">
        <v>45952</v>
      </c>
      <c r="N67" s="16"/>
      <c r="O67" s="16">
        <v>15</v>
      </c>
      <c r="P67" s="16" t="s">
        <v>112</v>
      </c>
      <c r="Q67" s="14" t="s">
        <v>31</v>
      </c>
      <c r="R67" s="16" t="s">
        <v>31</v>
      </c>
      <c r="S67" s="16" t="s">
        <v>767</v>
      </c>
    </row>
    <row r="68" spans="1:19" ht="113.45" customHeight="1" x14ac:dyDescent="0.2">
      <c r="A68" s="15" t="s">
        <v>490</v>
      </c>
      <c r="B68" s="9" t="s">
        <v>477</v>
      </c>
      <c r="C68" s="68" t="s">
        <v>491</v>
      </c>
      <c r="D68" s="9" t="s">
        <v>21</v>
      </c>
      <c r="E68" s="11" t="s">
        <v>492</v>
      </c>
      <c r="F68" s="10" t="s">
        <v>493</v>
      </c>
      <c r="G68" s="10" t="s">
        <v>494</v>
      </c>
      <c r="H68" s="10" t="s">
        <v>495</v>
      </c>
      <c r="I68" s="10" t="s">
        <v>496</v>
      </c>
      <c r="J68" s="9" t="s">
        <v>58</v>
      </c>
      <c r="K68" s="9" t="s">
        <v>44</v>
      </c>
      <c r="L68" s="61" t="s">
        <v>967</v>
      </c>
      <c r="M68" s="17">
        <v>45952</v>
      </c>
      <c r="N68" s="22">
        <v>45952</v>
      </c>
      <c r="O68" s="16">
        <v>15</v>
      </c>
      <c r="P68" s="16" t="s">
        <v>112</v>
      </c>
      <c r="Q68" s="14" t="s">
        <v>31</v>
      </c>
      <c r="R68" s="16" t="s">
        <v>67</v>
      </c>
      <c r="S68" s="16" t="s">
        <v>767</v>
      </c>
    </row>
    <row r="69" spans="1:19" ht="98.45" customHeight="1" x14ac:dyDescent="0.2">
      <c r="A69" s="15" t="s">
        <v>497</v>
      </c>
      <c r="B69" s="9" t="s">
        <v>498</v>
      </c>
      <c r="C69" s="19" t="s">
        <v>499</v>
      </c>
      <c r="D69" s="9" t="s">
        <v>98</v>
      </c>
      <c r="E69" s="11" t="s">
        <v>500</v>
      </c>
      <c r="F69" s="10" t="s">
        <v>501</v>
      </c>
      <c r="G69" s="10" t="s">
        <v>502</v>
      </c>
      <c r="H69" s="10" t="s">
        <v>503</v>
      </c>
      <c r="I69" s="10" t="s">
        <v>504</v>
      </c>
      <c r="J69" s="9" t="s">
        <v>27</v>
      </c>
      <c r="K69" s="9" t="s">
        <v>28</v>
      </c>
      <c r="L69" s="61" t="s">
        <v>967</v>
      </c>
      <c r="M69" s="17">
        <v>45952</v>
      </c>
      <c r="N69" s="16"/>
      <c r="O69" s="16">
        <v>20</v>
      </c>
      <c r="P69" s="16" t="s">
        <v>112</v>
      </c>
      <c r="Q69" s="14" t="s">
        <v>30</v>
      </c>
      <c r="R69" s="16" t="s">
        <v>31</v>
      </c>
      <c r="S69" s="16" t="s">
        <v>767</v>
      </c>
    </row>
    <row r="70" spans="1:19" ht="166.15" customHeight="1" x14ac:dyDescent="0.2">
      <c r="A70" s="15" t="s">
        <v>505</v>
      </c>
      <c r="B70" s="9" t="s">
        <v>498</v>
      </c>
      <c r="C70" s="19" t="s">
        <v>506</v>
      </c>
      <c r="D70" s="9" t="s">
        <v>98</v>
      </c>
      <c r="E70" s="11" t="s">
        <v>507</v>
      </c>
      <c r="F70" s="10" t="s">
        <v>508</v>
      </c>
      <c r="G70" s="10" t="s">
        <v>509</v>
      </c>
      <c r="H70" s="10" t="s">
        <v>510</v>
      </c>
      <c r="I70" s="10" t="s">
        <v>511</v>
      </c>
      <c r="J70" s="9" t="s">
        <v>27</v>
      </c>
      <c r="K70" s="9" t="s">
        <v>28</v>
      </c>
      <c r="L70" s="61" t="s">
        <v>967</v>
      </c>
      <c r="M70" s="17">
        <v>45952</v>
      </c>
      <c r="N70" s="16"/>
      <c r="O70" s="16">
        <v>20</v>
      </c>
      <c r="P70" s="16" t="s">
        <v>112</v>
      </c>
      <c r="Q70" s="14" t="s">
        <v>31</v>
      </c>
      <c r="R70" s="16" t="s">
        <v>31</v>
      </c>
      <c r="S70" s="16" t="s">
        <v>767</v>
      </c>
    </row>
    <row r="71" spans="1:19" ht="199.9" customHeight="1" x14ac:dyDescent="0.2">
      <c r="A71" s="15" t="s">
        <v>512</v>
      </c>
      <c r="B71" s="9" t="s">
        <v>513</v>
      </c>
      <c r="C71" s="69" t="s">
        <v>514</v>
      </c>
      <c r="D71" s="9" t="s">
        <v>98</v>
      </c>
      <c r="E71" s="10" t="s">
        <v>515</v>
      </c>
      <c r="F71" s="10" t="s">
        <v>516</v>
      </c>
      <c r="G71" s="10" t="s">
        <v>517</v>
      </c>
      <c r="H71" s="10" t="s">
        <v>64</v>
      </c>
      <c r="I71" s="10" t="s">
        <v>518</v>
      </c>
      <c r="J71" s="9" t="s">
        <v>27</v>
      </c>
      <c r="K71" s="9" t="s">
        <v>28</v>
      </c>
      <c r="L71" s="61" t="s">
        <v>967</v>
      </c>
      <c r="M71" s="17">
        <v>45953</v>
      </c>
      <c r="N71" s="17">
        <v>45953</v>
      </c>
      <c r="O71" s="16">
        <v>30</v>
      </c>
      <c r="P71" s="16" t="s">
        <v>160</v>
      </c>
      <c r="Q71" s="14" t="s">
        <v>67</v>
      </c>
      <c r="R71" s="16" t="s">
        <v>67</v>
      </c>
      <c r="S71" s="16" t="s">
        <v>767</v>
      </c>
    </row>
    <row r="72" spans="1:19" ht="253.15" customHeight="1" x14ac:dyDescent="0.2">
      <c r="A72" s="15" t="s">
        <v>519</v>
      </c>
      <c r="B72" s="9" t="s">
        <v>513</v>
      </c>
      <c r="C72" s="19" t="s">
        <v>520</v>
      </c>
      <c r="D72" s="9" t="s">
        <v>98</v>
      </c>
      <c r="E72" s="10" t="s">
        <v>521</v>
      </c>
      <c r="F72" s="10" t="s">
        <v>522</v>
      </c>
      <c r="G72" s="10" t="s">
        <v>523</v>
      </c>
      <c r="H72" s="10" t="s">
        <v>524</v>
      </c>
      <c r="I72" s="10" t="s">
        <v>525</v>
      </c>
      <c r="J72" s="9" t="s">
        <v>27</v>
      </c>
      <c r="K72" s="9" t="s">
        <v>28</v>
      </c>
      <c r="L72" s="61" t="s">
        <v>967</v>
      </c>
      <c r="M72" s="17">
        <v>45953</v>
      </c>
      <c r="N72" s="17">
        <v>45953</v>
      </c>
      <c r="O72" s="16">
        <v>30</v>
      </c>
      <c r="P72" s="16" t="s">
        <v>160</v>
      </c>
      <c r="Q72" s="14" t="s">
        <v>30</v>
      </c>
      <c r="R72" s="16" t="s">
        <v>31</v>
      </c>
      <c r="S72" s="16" t="s">
        <v>767</v>
      </c>
    </row>
    <row r="73" spans="1:19" ht="210" customHeight="1" x14ac:dyDescent="0.2">
      <c r="A73" s="15" t="s">
        <v>526</v>
      </c>
      <c r="B73" s="9" t="s">
        <v>513</v>
      </c>
      <c r="C73" s="19" t="s">
        <v>527</v>
      </c>
      <c r="D73" s="9" t="s">
        <v>98</v>
      </c>
      <c r="E73" s="10" t="s">
        <v>528</v>
      </c>
      <c r="F73" s="10" t="s">
        <v>529</v>
      </c>
      <c r="G73" s="10" t="s">
        <v>530</v>
      </c>
      <c r="H73" s="10" t="s">
        <v>64</v>
      </c>
      <c r="I73" s="10" t="s">
        <v>531</v>
      </c>
      <c r="J73" s="9" t="s">
        <v>180</v>
      </c>
      <c r="K73" s="9" t="s">
        <v>28</v>
      </c>
      <c r="L73" s="61" t="s">
        <v>967</v>
      </c>
      <c r="M73" s="17">
        <v>45953</v>
      </c>
      <c r="N73" s="17">
        <v>45953</v>
      </c>
      <c r="O73" s="16">
        <v>30</v>
      </c>
      <c r="P73" s="16" t="s">
        <v>160</v>
      </c>
      <c r="Q73" s="14" t="s">
        <v>31</v>
      </c>
      <c r="R73" s="16" t="s">
        <v>31</v>
      </c>
      <c r="S73" s="16" t="s">
        <v>767</v>
      </c>
    </row>
    <row r="74" spans="1:19" ht="191.45" customHeight="1" x14ac:dyDescent="0.2">
      <c r="A74" s="15" t="s">
        <v>532</v>
      </c>
      <c r="B74" s="9" t="s">
        <v>533</v>
      </c>
      <c r="C74" s="19" t="s">
        <v>534</v>
      </c>
      <c r="D74" s="9" t="s">
        <v>98</v>
      </c>
      <c r="E74" s="11" t="s">
        <v>535</v>
      </c>
      <c r="F74" s="10" t="s">
        <v>536</v>
      </c>
      <c r="G74" s="10" t="s">
        <v>537</v>
      </c>
      <c r="H74" s="10" t="s">
        <v>64</v>
      </c>
      <c r="I74" s="10" t="s">
        <v>538</v>
      </c>
      <c r="J74" s="9" t="s">
        <v>27</v>
      </c>
      <c r="K74" s="9" t="s">
        <v>28</v>
      </c>
      <c r="L74" s="61" t="s">
        <v>967</v>
      </c>
      <c r="M74" s="17">
        <v>45954</v>
      </c>
      <c r="N74" s="16"/>
      <c r="O74" s="16">
        <v>15</v>
      </c>
      <c r="P74" s="16" t="s">
        <v>112</v>
      </c>
      <c r="Q74" s="14" t="s">
        <v>31</v>
      </c>
      <c r="R74" s="16" t="s">
        <v>31</v>
      </c>
      <c r="S74" s="16" t="s">
        <v>767</v>
      </c>
    </row>
    <row r="75" spans="1:19" ht="160.15" customHeight="1" x14ac:dyDescent="0.2">
      <c r="A75" s="15" t="s">
        <v>539</v>
      </c>
      <c r="B75" s="9" t="s">
        <v>533</v>
      </c>
      <c r="C75" s="19" t="s">
        <v>540</v>
      </c>
      <c r="D75" s="9" t="s">
        <v>98</v>
      </c>
      <c r="E75" s="11" t="s">
        <v>541</v>
      </c>
      <c r="F75" s="10" t="s">
        <v>542</v>
      </c>
      <c r="G75" s="10" t="s">
        <v>537</v>
      </c>
      <c r="H75" s="10" t="s">
        <v>543</v>
      </c>
      <c r="I75" s="10" t="s">
        <v>544</v>
      </c>
      <c r="J75" s="9" t="s">
        <v>180</v>
      </c>
      <c r="K75" s="9" t="s">
        <v>28</v>
      </c>
      <c r="L75" s="61" t="s">
        <v>967</v>
      </c>
      <c r="M75" s="17">
        <v>45954</v>
      </c>
      <c r="N75" s="16"/>
      <c r="O75" s="16">
        <v>20</v>
      </c>
      <c r="P75" s="16" t="s">
        <v>112</v>
      </c>
      <c r="Q75" s="14" t="s">
        <v>31</v>
      </c>
      <c r="R75" s="16" t="s">
        <v>31</v>
      </c>
      <c r="S75" s="16" t="s">
        <v>767</v>
      </c>
    </row>
    <row r="76" spans="1:19" ht="60" x14ac:dyDescent="0.2">
      <c r="A76" s="15" t="s">
        <v>545</v>
      </c>
      <c r="B76" s="9" t="s">
        <v>533</v>
      </c>
      <c r="C76" s="19" t="s">
        <v>546</v>
      </c>
      <c r="D76" s="9" t="s">
        <v>98</v>
      </c>
      <c r="E76" s="11" t="s">
        <v>547</v>
      </c>
      <c r="F76" s="10" t="s">
        <v>548</v>
      </c>
      <c r="G76" s="10" t="s">
        <v>549</v>
      </c>
      <c r="H76" s="10" t="s">
        <v>550</v>
      </c>
      <c r="I76" s="10" t="s">
        <v>475</v>
      </c>
      <c r="J76" s="9" t="s">
        <v>27</v>
      </c>
      <c r="K76" s="9" t="s">
        <v>28</v>
      </c>
      <c r="L76" s="61" t="s">
        <v>967</v>
      </c>
      <c r="M76" s="17">
        <v>45954</v>
      </c>
      <c r="N76" s="16"/>
      <c r="O76" s="16">
        <v>10</v>
      </c>
      <c r="P76" s="16" t="s">
        <v>112</v>
      </c>
      <c r="Q76" s="14" t="s">
        <v>31</v>
      </c>
      <c r="R76" s="16" t="s">
        <v>31</v>
      </c>
      <c r="S76" s="16" t="s">
        <v>767</v>
      </c>
    </row>
    <row r="77" spans="1:19" ht="102.6" customHeight="1" x14ac:dyDescent="0.2">
      <c r="A77" s="15" t="s">
        <v>551</v>
      </c>
      <c r="B77" s="9" t="s">
        <v>533</v>
      </c>
      <c r="C77" s="19" t="s">
        <v>552</v>
      </c>
      <c r="D77" s="9" t="s">
        <v>98</v>
      </c>
      <c r="E77" s="11" t="s">
        <v>553</v>
      </c>
      <c r="F77" s="10" t="s">
        <v>554</v>
      </c>
      <c r="G77" s="10" t="s">
        <v>555</v>
      </c>
      <c r="H77" s="10" t="s">
        <v>220</v>
      </c>
      <c r="I77" s="10" t="s">
        <v>556</v>
      </c>
      <c r="J77" s="9" t="s">
        <v>180</v>
      </c>
      <c r="K77" s="9" t="s">
        <v>28</v>
      </c>
      <c r="L77" s="61" t="s">
        <v>967</v>
      </c>
      <c r="M77" s="17">
        <v>45954</v>
      </c>
      <c r="N77" s="16"/>
      <c r="O77" s="16">
        <v>10</v>
      </c>
      <c r="P77" s="16" t="s">
        <v>112</v>
      </c>
      <c r="Q77" s="14" t="s">
        <v>31</v>
      </c>
      <c r="R77" s="16" t="s">
        <v>31</v>
      </c>
      <c r="S77" s="16" t="s">
        <v>767</v>
      </c>
    </row>
    <row r="78" spans="1:19" ht="45" x14ac:dyDescent="0.2">
      <c r="A78" s="15" t="s">
        <v>557</v>
      </c>
      <c r="B78" s="9" t="s">
        <v>533</v>
      </c>
      <c r="C78" s="19" t="s">
        <v>558</v>
      </c>
      <c r="D78" s="9" t="s">
        <v>98</v>
      </c>
      <c r="E78" s="11" t="s">
        <v>559</v>
      </c>
      <c r="F78" s="10" t="s">
        <v>560</v>
      </c>
      <c r="G78" s="10" t="s">
        <v>561</v>
      </c>
      <c r="H78" s="10" t="s">
        <v>64</v>
      </c>
      <c r="I78" s="10" t="s">
        <v>562</v>
      </c>
      <c r="J78" s="9" t="s">
        <v>27</v>
      </c>
      <c r="K78" s="9" t="s">
        <v>28</v>
      </c>
      <c r="L78" s="61" t="s">
        <v>967</v>
      </c>
      <c r="M78" s="17">
        <v>45954</v>
      </c>
      <c r="N78" s="16"/>
      <c r="O78" s="16">
        <v>30</v>
      </c>
      <c r="P78" s="16" t="s">
        <v>112</v>
      </c>
      <c r="Q78" s="14" t="s">
        <v>31</v>
      </c>
      <c r="R78" s="16" t="s">
        <v>31</v>
      </c>
      <c r="S78" s="16" t="s">
        <v>767</v>
      </c>
    </row>
    <row r="79" spans="1:19" ht="105" x14ac:dyDescent="0.2">
      <c r="A79" s="15" t="s">
        <v>563</v>
      </c>
      <c r="B79" s="9" t="s">
        <v>564</v>
      </c>
      <c r="C79" s="19" t="s">
        <v>565</v>
      </c>
      <c r="D79" s="69" t="s">
        <v>566</v>
      </c>
      <c r="E79" s="11" t="s">
        <v>567</v>
      </c>
      <c r="F79" s="10" t="s">
        <v>568</v>
      </c>
      <c r="G79" s="10" t="s">
        <v>569</v>
      </c>
      <c r="H79" s="10" t="s">
        <v>570</v>
      </c>
      <c r="I79" s="10" t="s">
        <v>571</v>
      </c>
      <c r="J79" s="9" t="s">
        <v>58</v>
      </c>
      <c r="K79" s="23" t="s">
        <v>28</v>
      </c>
      <c r="L79" s="61" t="s">
        <v>967</v>
      </c>
      <c r="M79" s="17">
        <v>45956</v>
      </c>
      <c r="N79" s="17">
        <v>45956</v>
      </c>
      <c r="O79" s="16">
        <v>30</v>
      </c>
      <c r="P79" s="16" t="s">
        <v>112</v>
      </c>
      <c r="Q79" s="14" t="s">
        <v>67</v>
      </c>
      <c r="R79" s="16" t="s">
        <v>67</v>
      </c>
      <c r="S79" s="16" t="s">
        <v>769</v>
      </c>
    </row>
    <row r="80" spans="1:19" ht="105" x14ac:dyDescent="0.2">
      <c r="A80" s="15" t="s">
        <v>572</v>
      </c>
      <c r="B80" s="9" t="s">
        <v>564</v>
      </c>
      <c r="C80" s="19" t="s">
        <v>573</v>
      </c>
      <c r="D80" s="69" t="s">
        <v>61</v>
      </c>
      <c r="E80" s="11" t="s">
        <v>574</v>
      </c>
      <c r="F80" s="10" t="s">
        <v>575</v>
      </c>
      <c r="G80" s="10" t="s">
        <v>576</v>
      </c>
      <c r="H80" s="10" t="s">
        <v>577</v>
      </c>
      <c r="I80" s="10" t="s">
        <v>578</v>
      </c>
      <c r="J80" s="9" t="s">
        <v>27</v>
      </c>
      <c r="K80" s="9" t="s">
        <v>28</v>
      </c>
      <c r="L80" s="61" t="s">
        <v>967</v>
      </c>
      <c r="M80" s="17">
        <v>45956</v>
      </c>
      <c r="N80" s="17">
        <v>45956</v>
      </c>
      <c r="O80" s="16">
        <v>30</v>
      </c>
      <c r="P80" s="16" t="s">
        <v>112</v>
      </c>
      <c r="Q80" s="14" t="s">
        <v>67</v>
      </c>
      <c r="R80" s="16" t="s">
        <v>67</v>
      </c>
      <c r="S80" s="16" t="s">
        <v>767</v>
      </c>
    </row>
    <row r="81" spans="1:19" ht="45" x14ac:dyDescent="0.2">
      <c r="A81" s="15" t="s">
        <v>579</v>
      </c>
      <c r="B81" s="9" t="s">
        <v>580</v>
      </c>
      <c r="C81" s="19" t="s">
        <v>581</v>
      </c>
      <c r="D81" s="9" t="s">
        <v>98</v>
      </c>
      <c r="E81" s="10" t="s">
        <v>582</v>
      </c>
      <c r="F81" s="10" t="s">
        <v>583</v>
      </c>
      <c r="G81" s="10" t="s">
        <v>584</v>
      </c>
      <c r="H81" s="10" t="s">
        <v>585</v>
      </c>
      <c r="I81" s="10" t="s">
        <v>586</v>
      </c>
      <c r="J81" s="9" t="s">
        <v>58</v>
      </c>
      <c r="K81" s="9" t="s">
        <v>28</v>
      </c>
      <c r="L81" s="61" t="s">
        <v>967</v>
      </c>
      <c r="M81" s="17">
        <v>45951</v>
      </c>
      <c r="N81" s="17">
        <v>45951</v>
      </c>
      <c r="O81" s="16">
        <v>10</v>
      </c>
      <c r="P81" s="16" t="s">
        <v>160</v>
      </c>
      <c r="Q81" s="14" t="s">
        <v>30</v>
      </c>
      <c r="R81" s="16" t="s">
        <v>31</v>
      </c>
      <c r="S81" s="16" t="s">
        <v>767</v>
      </c>
    </row>
    <row r="82" spans="1:19" ht="45" x14ac:dyDescent="0.2">
      <c r="A82" s="15" t="s">
        <v>587</v>
      </c>
      <c r="B82" s="9" t="s">
        <v>580</v>
      </c>
      <c r="C82" s="19" t="s">
        <v>588</v>
      </c>
      <c r="D82" s="9" t="s">
        <v>98</v>
      </c>
      <c r="E82" s="10" t="s">
        <v>589</v>
      </c>
      <c r="F82" s="10" t="s">
        <v>590</v>
      </c>
      <c r="G82" s="10" t="s">
        <v>591</v>
      </c>
      <c r="H82" s="10" t="s">
        <v>592</v>
      </c>
      <c r="I82" s="10" t="s">
        <v>593</v>
      </c>
      <c r="J82" s="9" t="s">
        <v>27</v>
      </c>
      <c r="K82" s="9" t="s">
        <v>28</v>
      </c>
      <c r="L82" s="61" t="s">
        <v>967</v>
      </c>
      <c r="M82" s="17">
        <v>45951</v>
      </c>
      <c r="N82" s="17">
        <v>45951</v>
      </c>
      <c r="O82" s="16">
        <v>10</v>
      </c>
      <c r="P82" s="16" t="s">
        <v>160</v>
      </c>
      <c r="Q82" s="14" t="s">
        <v>30</v>
      </c>
      <c r="R82" s="16" t="s">
        <v>31</v>
      </c>
      <c r="S82" s="16" t="s">
        <v>767</v>
      </c>
    </row>
    <row r="83" spans="1:19" ht="45" x14ac:dyDescent="0.2">
      <c r="A83" s="15" t="s">
        <v>594</v>
      </c>
      <c r="B83" s="9" t="s">
        <v>580</v>
      </c>
      <c r="C83" s="19" t="s">
        <v>595</v>
      </c>
      <c r="D83" s="9" t="s">
        <v>98</v>
      </c>
      <c r="E83" s="10" t="s">
        <v>596</v>
      </c>
      <c r="F83" s="10" t="s">
        <v>597</v>
      </c>
      <c r="G83" s="10" t="s">
        <v>598</v>
      </c>
      <c r="H83" s="10" t="s">
        <v>599</v>
      </c>
      <c r="I83" s="10" t="s">
        <v>600</v>
      </c>
      <c r="J83" s="9" t="s">
        <v>58</v>
      </c>
      <c r="K83" s="9" t="s">
        <v>28</v>
      </c>
      <c r="L83" s="61" t="s">
        <v>967</v>
      </c>
      <c r="M83" s="17">
        <v>45951</v>
      </c>
      <c r="N83" s="17">
        <v>45951</v>
      </c>
      <c r="O83" s="16">
        <v>10</v>
      </c>
      <c r="P83" s="16" t="s">
        <v>160</v>
      </c>
      <c r="Q83" s="14" t="s">
        <v>30</v>
      </c>
      <c r="R83" s="16" t="s">
        <v>31</v>
      </c>
      <c r="S83" s="16" t="s">
        <v>767</v>
      </c>
    </row>
    <row r="84" spans="1:19" ht="75" x14ac:dyDescent="0.2">
      <c r="A84" s="15" t="s">
        <v>601</v>
      </c>
      <c r="B84" s="9" t="s">
        <v>602</v>
      </c>
      <c r="C84" s="19" t="s">
        <v>603</v>
      </c>
      <c r="D84" s="9" t="s">
        <v>98</v>
      </c>
      <c r="E84" s="11" t="s">
        <v>604</v>
      </c>
      <c r="F84" s="10" t="s">
        <v>605</v>
      </c>
      <c r="G84" s="10" t="s">
        <v>606</v>
      </c>
      <c r="H84" s="10" t="s">
        <v>607</v>
      </c>
      <c r="I84" s="10" t="s">
        <v>608</v>
      </c>
      <c r="J84" s="9" t="s">
        <v>27</v>
      </c>
      <c r="K84" s="9" t="s">
        <v>28</v>
      </c>
      <c r="L84" s="61" t="s">
        <v>967</v>
      </c>
      <c r="M84" s="17">
        <v>45956</v>
      </c>
      <c r="N84" s="17">
        <v>45956</v>
      </c>
      <c r="O84" s="16">
        <v>30</v>
      </c>
      <c r="P84" s="16" t="s">
        <v>112</v>
      </c>
      <c r="Q84" s="14" t="s">
        <v>30</v>
      </c>
      <c r="R84" s="16" t="s">
        <v>31</v>
      </c>
      <c r="S84" s="16" t="s">
        <v>767</v>
      </c>
    </row>
    <row r="85" spans="1:19" ht="75" x14ac:dyDescent="0.2">
      <c r="A85" s="15" t="s">
        <v>609</v>
      </c>
      <c r="B85" s="9" t="s">
        <v>602</v>
      </c>
      <c r="C85" s="19" t="s">
        <v>610</v>
      </c>
      <c r="D85" s="9" t="s">
        <v>98</v>
      </c>
      <c r="E85" s="11" t="s">
        <v>611</v>
      </c>
      <c r="F85" s="10" t="s">
        <v>612</v>
      </c>
      <c r="G85" s="10" t="s">
        <v>613</v>
      </c>
      <c r="H85" s="10" t="s">
        <v>614</v>
      </c>
      <c r="I85" s="10" t="s">
        <v>615</v>
      </c>
      <c r="J85" s="9" t="s">
        <v>27</v>
      </c>
      <c r="K85" s="9" t="s">
        <v>28</v>
      </c>
      <c r="L85" s="61" t="s">
        <v>967</v>
      </c>
      <c r="M85" s="17">
        <v>45956</v>
      </c>
      <c r="N85" s="17">
        <v>45956</v>
      </c>
      <c r="O85" s="16">
        <v>30</v>
      </c>
      <c r="P85" s="16" t="s">
        <v>112</v>
      </c>
      <c r="Q85" s="14" t="s">
        <v>31</v>
      </c>
      <c r="R85" s="16" t="s">
        <v>31</v>
      </c>
      <c r="S85" s="16" t="s">
        <v>767</v>
      </c>
    </row>
    <row r="86" spans="1:19" ht="45" x14ac:dyDescent="0.2">
      <c r="A86" s="15" t="s">
        <v>616</v>
      </c>
      <c r="B86" s="9" t="s">
        <v>602</v>
      </c>
      <c r="C86" s="19" t="s">
        <v>617</v>
      </c>
      <c r="D86" s="9" t="s">
        <v>98</v>
      </c>
      <c r="E86" s="11" t="s">
        <v>618</v>
      </c>
      <c r="F86" s="10" t="s">
        <v>619</v>
      </c>
      <c r="G86" s="10" t="s">
        <v>620</v>
      </c>
      <c r="H86" s="10" t="s">
        <v>621</v>
      </c>
      <c r="I86" s="10" t="s">
        <v>622</v>
      </c>
      <c r="J86" s="9" t="s">
        <v>58</v>
      </c>
      <c r="K86" s="9" t="s">
        <v>28</v>
      </c>
      <c r="L86" s="61" t="s">
        <v>967</v>
      </c>
      <c r="M86" s="17">
        <v>45956</v>
      </c>
      <c r="N86" s="17">
        <v>45956</v>
      </c>
      <c r="O86" s="16">
        <v>30</v>
      </c>
      <c r="P86" s="16" t="s">
        <v>112</v>
      </c>
      <c r="Q86" s="14" t="s">
        <v>31</v>
      </c>
      <c r="R86" s="16" t="s">
        <v>31</v>
      </c>
      <c r="S86" s="16" t="s">
        <v>767</v>
      </c>
    </row>
    <row r="87" spans="1:19" ht="30" x14ac:dyDescent="0.2">
      <c r="A87" s="15" t="s">
        <v>623</v>
      </c>
      <c r="B87" s="9" t="s">
        <v>602</v>
      </c>
      <c r="C87" s="19" t="s">
        <v>624</v>
      </c>
      <c r="D87" s="9" t="s">
        <v>98</v>
      </c>
      <c r="E87" s="11" t="s">
        <v>625</v>
      </c>
      <c r="F87" s="10" t="s">
        <v>626</v>
      </c>
      <c r="G87" s="10" t="s">
        <v>627</v>
      </c>
      <c r="H87" s="10" t="s">
        <v>628</v>
      </c>
      <c r="I87" s="10" t="s">
        <v>629</v>
      </c>
      <c r="J87" s="9" t="s">
        <v>58</v>
      </c>
      <c r="K87" s="9" t="s">
        <v>28</v>
      </c>
      <c r="L87" s="61" t="s">
        <v>967</v>
      </c>
      <c r="M87" s="17">
        <v>45956</v>
      </c>
      <c r="N87" s="17">
        <v>45956</v>
      </c>
      <c r="O87" s="16">
        <v>30</v>
      </c>
      <c r="P87" s="16" t="s">
        <v>112</v>
      </c>
      <c r="Q87" s="14" t="s">
        <v>31</v>
      </c>
      <c r="R87" s="16" t="s">
        <v>31</v>
      </c>
      <c r="S87" s="16" t="s">
        <v>767</v>
      </c>
    </row>
    <row r="88" spans="1:19" ht="45" x14ac:dyDescent="0.2">
      <c r="A88" s="15" t="s">
        <v>630</v>
      </c>
      <c r="B88" s="9" t="s">
        <v>602</v>
      </c>
      <c r="C88" s="19" t="s">
        <v>631</v>
      </c>
      <c r="D88" s="9" t="s">
        <v>98</v>
      </c>
      <c r="E88" s="11" t="s">
        <v>632</v>
      </c>
      <c r="F88" s="10" t="s">
        <v>633</v>
      </c>
      <c r="G88" s="10" t="s">
        <v>634</v>
      </c>
      <c r="H88" s="10" t="s">
        <v>607</v>
      </c>
      <c r="I88" s="10" t="s">
        <v>635</v>
      </c>
      <c r="J88" s="9" t="s">
        <v>27</v>
      </c>
      <c r="K88" s="9" t="s">
        <v>28</v>
      </c>
      <c r="L88" s="61" t="s">
        <v>967</v>
      </c>
      <c r="M88" s="17">
        <v>45956</v>
      </c>
      <c r="N88" s="17">
        <v>45956</v>
      </c>
      <c r="O88" s="16">
        <v>30</v>
      </c>
      <c r="P88" s="16" t="s">
        <v>112</v>
      </c>
      <c r="Q88" s="14" t="s">
        <v>31</v>
      </c>
      <c r="R88" s="16" t="s">
        <v>31</v>
      </c>
      <c r="S88" s="16" t="s">
        <v>767</v>
      </c>
    </row>
    <row r="89" spans="1:19" ht="135" x14ac:dyDescent="0.2">
      <c r="A89" s="15" t="s">
        <v>636</v>
      </c>
      <c r="B89" s="9" t="s">
        <v>637</v>
      </c>
      <c r="C89" s="19" t="s">
        <v>638</v>
      </c>
      <c r="D89" s="9" t="s">
        <v>98</v>
      </c>
      <c r="E89" s="11" t="s">
        <v>639</v>
      </c>
      <c r="F89" s="10" t="s">
        <v>640</v>
      </c>
      <c r="G89" s="10" t="s">
        <v>641</v>
      </c>
      <c r="H89" s="10" t="s">
        <v>642</v>
      </c>
      <c r="I89" s="10" t="s">
        <v>643</v>
      </c>
      <c r="J89" s="9" t="s">
        <v>27</v>
      </c>
      <c r="K89" s="9" t="s">
        <v>28</v>
      </c>
      <c r="L89" s="61" t="s">
        <v>967</v>
      </c>
      <c r="M89" s="17">
        <v>45956</v>
      </c>
      <c r="N89" s="17">
        <v>45956</v>
      </c>
      <c r="O89" s="16">
        <v>30</v>
      </c>
      <c r="P89" s="16" t="s">
        <v>112</v>
      </c>
      <c r="Q89" s="14" t="s">
        <v>31</v>
      </c>
      <c r="R89" s="16" t="s">
        <v>31</v>
      </c>
      <c r="S89" s="16" t="s">
        <v>767</v>
      </c>
    </row>
    <row r="90" spans="1:19" ht="135" x14ac:dyDescent="0.2">
      <c r="A90" s="15" t="s">
        <v>644</v>
      </c>
      <c r="B90" s="9" t="s">
        <v>637</v>
      </c>
      <c r="C90" s="19" t="s">
        <v>645</v>
      </c>
      <c r="D90" s="9" t="s">
        <v>98</v>
      </c>
      <c r="E90" s="11" t="s">
        <v>646</v>
      </c>
      <c r="F90" s="10" t="s">
        <v>647</v>
      </c>
      <c r="G90" s="10" t="s">
        <v>648</v>
      </c>
      <c r="H90" s="10" t="s">
        <v>649</v>
      </c>
      <c r="I90" s="10" t="s">
        <v>650</v>
      </c>
      <c r="J90" s="9" t="s">
        <v>27</v>
      </c>
      <c r="K90" s="9" t="s">
        <v>28</v>
      </c>
      <c r="L90" s="61" t="s">
        <v>967</v>
      </c>
      <c r="M90" s="17">
        <v>45956</v>
      </c>
      <c r="N90" s="17">
        <v>45956</v>
      </c>
      <c r="O90" s="16">
        <v>30</v>
      </c>
      <c r="P90" s="16" t="s">
        <v>112</v>
      </c>
      <c r="Q90" s="14" t="s">
        <v>31</v>
      </c>
      <c r="R90" s="16" t="s">
        <v>31</v>
      </c>
      <c r="S90" s="16" t="s">
        <v>766</v>
      </c>
    </row>
    <row r="91" spans="1:19" ht="90" x14ac:dyDescent="0.2">
      <c r="A91" s="15" t="s">
        <v>651</v>
      </c>
      <c r="B91" s="9" t="s">
        <v>637</v>
      </c>
      <c r="C91" s="69" t="s">
        <v>652</v>
      </c>
      <c r="D91" s="9" t="s">
        <v>61</v>
      </c>
      <c r="E91" s="11" t="s">
        <v>653</v>
      </c>
      <c r="F91" s="10" t="s">
        <v>654</v>
      </c>
      <c r="G91" s="10" t="s">
        <v>655</v>
      </c>
      <c r="H91" s="10" t="s">
        <v>656</v>
      </c>
      <c r="I91" s="10" t="s">
        <v>657</v>
      </c>
      <c r="J91" s="9" t="s">
        <v>27</v>
      </c>
      <c r="K91" s="9" t="s">
        <v>28</v>
      </c>
      <c r="L91" s="61" t="s">
        <v>967</v>
      </c>
      <c r="M91" s="17">
        <v>45956</v>
      </c>
      <c r="N91" s="17">
        <v>45956</v>
      </c>
      <c r="O91" s="16">
        <v>30</v>
      </c>
      <c r="P91" s="16" t="s">
        <v>112</v>
      </c>
      <c r="Q91" s="14" t="s">
        <v>67</v>
      </c>
      <c r="R91" s="16" t="s">
        <v>67</v>
      </c>
      <c r="S91" s="16" t="s">
        <v>766</v>
      </c>
    </row>
    <row r="92" spans="1:19" ht="120" x14ac:dyDescent="0.2">
      <c r="A92" s="15" t="s">
        <v>658</v>
      </c>
      <c r="B92" s="9" t="s">
        <v>637</v>
      </c>
      <c r="C92" s="9" t="s">
        <v>659</v>
      </c>
      <c r="D92" s="9" t="s">
        <v>21</v>
      </c>
      <c r="E92" s="11" t="s">
        <v>660</v>
      </c>
      <c r="F92" s="10" t="s">
        <v>661</v>
      </c>
      <c r="G92" s="10" t="s">
        <v>662</v>
      </c>
      <c r="H92" s="10" t="s">
        <v>663</v>
      </c>
      <c r="I92" s="10" t="s">
        <v>664</v>
      </c>
      <c r="J92" s="9" t="s">
        <v>27</v>
      </c>
      <c r="K92" s="9" t="s">
        <v>28</v>
      </c>
      <c r="L92" s="61" t="s">
        <v>967</v>
      </c>
      <c r="M92" s="17">
        <v>45955</v>
      </c>
      <c r="N92" s="17">
        <v>45955</v>
      </c>
      <c r="O92" s="16">
        <v>45</v>
      </c>
      <c r="P92" s="16" t="s">
        <v>112</v>
      </c>
      <c r="Q92" s="14" t="s">
        <v>31</v>
      </c>
      <c r="R92" s="16" t="s">
        <v>31</v>
      </c>
      <c r="S92" s="16" t="s">
        <v>766</v>
      </c>
    </row>
    <row r="93" spans="1:19" ht="135" x14ac:dyDescent="0.2">
      <c r="A93" s="15" t="s">
        <v>665</v>
      </c>
      <c r="B93" s="9" t="s">
        <v>637</v>
      </c>
      <c r="C93" s="9" t="s">
        <v>645</v>
      </c>
      <c r="D93" s="9" t="s">
        <v>21</v>
      </c>
      <c r="E93" s="11" t="s">
        <v>666</v>
      </c>
      <c r="F93" s="10" t="s">
        <v>667</v>
      </c>
      <c r="G93" s="10" t="s">
        <v>662</v>
      </c>
      <c r="H93" s="10" t="s">
        <v>663</v>
      </c>
      <c r="I93" s="10" t="s">
        <v>668</v>
      </c>
      <c r="J93" s="9" t="s">
        <v>27</v>
      </c>
      <c r="K93" s="9" t="s">
        <v>28</v>
      </c>
      <c r="L93" s="61" t="s">
        <v>967</v>
      </c>
      <c r="M93" s="17">
        <v>45955</v>
      </c>
      <c r="N93" s="17">
        <v>45955</v>
      </c>
      <c r="O93" s="16">
        <v>40</v>
      </c>
      <c r="P93" s="16" t="s">
        <v>112</v>
      </c>
      <c r="Q93" s="14" t="s">
        <v>31</v>
      </c>
      <c r="R93" s="16" t="s">
        <v>31</v>
      </c>
      <c r="S93" s="16" t="s">
        <v>766</v>
      </c>
    </row>
    <row r="94" spans="1:19" ht="165" x14ac:dyDescent="0.2">
      <c r="A94" s="15" t="s">
        <v>669</v>
      </c>
      <c r="B94" s="9" t="s">
        <v>637</v>
      </c>
      <c r="C94" s="69" t="s">
        <v>670</v>
      </c>
      <c r="D94" s="9" t="s">
        <v>21</v>
      </c>
      <c r="E94" s="11" t="s">
        <v>671</v>
      </c>
      <c r="F94" s="10" t="s">
        <v>672</v>
      </c>
      <c r="G94" s="10" t="s">
        <v>662</v>
      </c>
      <c r="H94" s="10" t="s">
        <v>673</v>
      </c>
      <c r="I94" s="10" t="s">
        <v>674</v>
      </c>
      <c r="J94" s="9" t="s">
        <v>27</v>
      </c>
      <c r="K94" s="9" t="s">
        <v>28</v>
      </c>
      <c r="L94" s="61" t="s">
        <v>967</v>
      </c>
      <c r="M94" s="17">
        <v>45955</v>
      </c>
      <c r="N94" s="17">
        <v>45955</v>
      </c>
      <c r="O94" s="16">
        <v>40</v>
      </c>
      <c r="P94" s="16" t="s">
        <v>112</v>
      </c>
      <c r="Q94" s="14" t="s">
        <v>67</v>
      </c>
      <c r="R94" s="16" t="s">
        <v>67</v>
      </c>
      <c r="S94" s="16" t="s">
        <v>768</v>
      </c>
    </row>
    <row r="95" spans="1:19" ht="150" x14ac:dyDescent="0.2">
      <c r="A95" s="15" t="s">
        <v>675</v>
      </c>
      <c r="B95" s="9" t="s">
        <v>637</v>
      </c>
      <c r="C95" s="69" t="s">
        <v>676</v>
      </c>
      <c r="D95" s="9" t="s">
        <v>21</v>
      </c>
      <c r="E95" s="11" t="s">
        <v>677</v>
      </c>
      <c r="F95" s="10" t="s">
        <v>678</v>
      </c>
      <c r="G95" s="10" t="s">
        <v>679</v>
      </c>
      <c r="H95" s="10" t="s">
        <v>680</v>
      </c>
      <c r="I95" s="10" t="s">
        <v>681</v>
      </c>
      <c r="J95" s="9" t="s">
        <v>58</v>
      </c>
      <c r="K95" s="9" t="s">
        <v>28</v>
      </c>
      <c r="L95" s="61" t="s">
        <v>967</v>
      </c>
      <c r="M95" s="17">
        <v>45955</v>
      </c>
      <c r="N95" s="17">
        <v>45955</v>
      </c>
      <c r="O95" s="16">
        <v>20</v>
      </c>
      <c r="P95" s="16" t="s">
        <v>112</v>
      </c>
      <c r="Q95" s="14" t="s">
        <v>67</v>
      </c>
      <c r="R95" s="16" t="s">
        <v>67</v>
      </c>
      <c r="S95" s="16" t="s">
        <v>768</v>
      </c>
    </row>
    <row r="96" spans="1:19" ht="75" x14ac:dyDescent="0.2">
      <c r="A96" s="15" t="s">
        <v>682</v>
      </c>
      <c r="B96" s="9" t="s">
        <v>336</v>
      </c>
      <c r="C96" s="69" t="s">
        <v>683</v>
      </c>
      <c r="D96" s="9" t="s">
        <v>61</v>
      </c>
      <c r="E96" s="10" t="s">
        <v>684</v>
      </c>
      <c r="F96" s="10" t="s">
        <v>685</v>
      </c>
      <c r="G96" s="10" t="s">
        <v>686</v>
      </c>
      <c r="H96" s="10" t="s">
        <v>687</v>
      </c>
      <c r="I96" s="10" t="s">
        <v>688</v>
      </c>
      <c r="J96" s="9" t="s">
        <v>27</v>
      </c>
      <c r="K96" s="9" t="s">
        <v>83</v>
      </c>
      <c r="L96" s="61" t="s">
        <v>967</v>
      </c>
      <c r="M96" s="17"/>
      <c r="N96" s="17"/>
      <c r="O96" s="16"/>
      <c r="P96" s="16" t="s">
        <v>29</v>
      </c>
      <c r="Q96" s="14" t="s">
        <v>67</v>
      </c>
      <c r="R96" s="16" t="s">
        <v>67</v>
      </c>
      <c r="S96" s="16" t="s">
        <v>768</v>
      </c>
    </row>
    <row r="97" spans="1:19" ht="75" x14ac:dyDescent="0.2">
      <c r="A97" s="15" t="s">
        <v>690</v>
      </c>
      <c r="B97" s="9" t="s">
        <v>336</v>
      </c>
      <c r="C97" s="19" t="s">
        <v>691</v>
      </c>
      <c r="D97" s="9" t="s">
        <v>61</v>
      </c>
      <c r="E97" s="10" t="s">
        <v>692</v>
      </c>
      <c r="F97" s="10" t="s">
        <v>693</v>
      </c>
      <c r="G97" s="10" t="s">
        <v>694</v>
      </c>
      <c r="H97" s="10" t="s">
        <v>695</v>
      </c>
      <c r="I97" s="10" t="s">
        <v>696</v>
      </c>
      <c r="J97" s="9" t="s">
        <v>27</v>
      </c>
      <c r="K97" s="9" t="s">
        <v>44</v>
      </c>
      <c r="L97" s="61" t="s">
        <v>967</v>
      </c>
      <c r="M97" s="17">
        <v>45955</v>
      </c>
      <c r="N97" s="17">
        <v>45955</v>
      </c>
      <c r="O97" s="16">
        <v>25</v>
      </c>
      <c r="P97" s="16" t="s">
        <v>29</v>
      </c>
      <c r="Q97" s="14" t="s">
        <v>31</v>
      </c>
      <c r="R97" s="16" t="s">
        <v>31</v>
      </c>
      <c r="S97" s="16" t="s">
        <v>766</v>
      </c>
    </row>
    <row r="98" spans="1:19" ht="75" x14ac:dyDescent="0.2">
      <c r="A98" s="15" t="s">
        <v>697</v>
      </c>
      <c r="B98" s="9" t="s">
        <v>336</v>
      </c>
      <c r="C98" s="19" t="s">
        <v>698</v>
      </c>
      <c r="D98" s="9" t="s">
        <v>61</v>
      </c>
      <c r="E98" s="10" t="s">
        <v>699</v>
      </c>
      <c r="F98" s="10" t="s">
        <v>700</v>
      </c>
      <c r="G98" s="10" t="s">
        <v>701</v>
      </c>
      <c r="H98" s="10" t="s">
        <v>695</v>
      </c>
      <c r="I98" s="10" t="s">
        <v>702</v>
      </c>
      <c r="J98" s="9" t="s">
        <v>27</v>
      </c>
      <c r="K98" s="9" t="s">
        <v>28</v>
      </c>
      <c r="L98" s="61" t="s">
        <v>967</v>
      </c>
      <c r="M98" s="17">
        <v>45955</v>
      </c>
      <c r="N98" s="17">
        <v>45955</v>
      </c>
      <c r="O98" s="16">
        <v>30</v>
      </c>
      <c r="P98" s="16" t="s">
        <v>29</v>
      </c>
      <c r="Q98" s="14" t="s">
        <v>31</v>
      </c>
      <c r="R98" s="16" t="s">
        <v>31</v>
      </c>
      <c r="S98" s="16" t="s">
        <v>766</v>
      </c>
    </row>
    <row r="99" spans="1:19" ht="120" x14ac:dyDescent="0.2">
      <c r="A99" s="15" t="s">
        <v>703</v>
      </c>
      <c r="B99" s="9" t="s">
        <v>336</v>
      </c>
      <c r="C99" s="19" t="s">
        <v>704</v>
      </c>
      <c r="D99" s="9" t="s">
        <v>61</v>
      </c>
      <c r="E99" s="10" t="s">
        <v>705</v>
      </c>
      <c r="F99" s="10" t="s">
        <v>706</v>
      </c>
      <c r="G99" s="10" t="s">
        <v>707</v>
      </c>
      <c r="H99" s="10" t="s">
        <v>708</v>
      </c>
      <c r="I99" s="10" t="s">
        <v>709</v>
      </c>
      <c r="J99" s="9" t="s">
        <v>27</v>
      </c>
      <c r="K99" s="9" t="s">
        <v>28</v>
      </c>
      <c r="L99" s="61" t="s">
        <v>967</v>
      </c>
      <c r="M99" s="17">
        <v>45955</v>
      </c>
      <c r="N99" s="17">
        <v>45955</v>
      </c>
      <c r="O99" s="16">
        <v>30</v>
      </c>
      <c r="P99" s="16" t="s">
        <v>29</v>
      </c>
      <c r="Q99" s="14" t="s">
        <v>31</v>
      </c>
      <c r="R99" s="16" t="s">
        <v>31</v>
      </c>
      <c r="S99" s="16" t="s">
        <v>766</v>
      </c>
    </row>
    <row r="100" spans="1:19" ht="150" x14ac:dyDescent="0.2">
      <c r="A100" s="15" t="s">
        <v>710</v>
      </c>
      <c r="B100" s="9" t="s">
        <v>336</v>
      </c>
      <c r="C100" s="19" t="s">
        <v>711</v>
      </c>
      <c r="D100" s="9" t="s">
        <v>61</v>
      </c>
      <c r="E100" s="10" t="s">
        <v>712</v>
      </c>
      <c r="F100" s="10" t="s">
        <v>713</v>
      </c>
      <c r="G100" s="10" t="s">
        <v>714</v>
      </c>
      <c r="H100" s="10" t="s">
        <v>715</v>
      </c>
      <c r="I100" s="10" t="s">
        <v>716</v>
      </c>
      <c r="J100" s="9" t="s">
        <v>58</v>
      </c>
      <c r="K100" s="9" t="s">
        <v>44</v>
      </c>
      <c r="L100" s="61" t="s">
        <v>967</v>
      </c>
      <c r="M100" s="17">
        <v>45955</v>
      </c>
      <c r="N100" s="17">
        <v>45955</v>
      </c>
      <c r="O100" s="16">
        <v>30</v>
      </c>
      <c r="P100" s="16" t="s">
        <v>29</v>
      </c>
      <c r="Q100" s="14" t="s">
        <v>31</v>
      </c>
      <c r="R100" s="16" t="s">
        <v>31</v>
      </c>
      <c r="S100" s="16" t="s">
        <v>766</v>
      </c>
    </row>
    <row r="101" spans="1:19" ht="180" x14ac:dyDescent="0.2">
      <c r="A101" s="15" t="s">
        <v>717</v>
      </c>
      <c r="B101" s="9" t="s">
        <v>336</v>
      </c>
      <c r="C101" s="19" t="s">
        <v>718</v>
      </c>
      <c r="D101" s="9" t="s">
        <v>61</v>
      </c>
      <c r="E101" s="10" t="s">
        <v>719</v>
      </c>
      <c r="F101" s="10" t="s">
        <v>720</v>
      </c>
      <c r="G101" s="10" t="s">
        <v>721</v>
      </c>
      <c r="H101" s="10" t="s">
        <v>64</v>
      </c>
      <c r="I101" s="10" t="s">
        <v>722</v>
      </c>
      <c r="J101" s="9" t="s">
        <v>58</v>
      </c>
      <c r="K101" s="9" t="s">
        <v>44</v>
      </c>
      <c r="L101" s="61" t="s">
        <v>967</v>
      </c>
      <c r="M101" s="17">
        <v>45956</v>
      </c>
      <c r="N101" s="17">
        <v>45956</v>
      </c>
      <c r="O101" s="16">
        <v>30</v>
      </c>
      <c r="P101" s="16" t="s">
        <v>29</v>
      </c>
      <c r="Q101" s="14" t="s">
        <v>31</v>
      </c>
      <c r="R101" s="16" t="s">
        <v>31</v>
      </c>
      <c r="S101" s="16" t="s">
        <v>766</v>
      </c>
    </row>
    <row r="102" spans="1:19" ht="105" x14ac:dyDescent="0.2">
      <c r="A102" s="15" t="s">
        <v>723</v>
      </c>
      <c r="B102" s="9" t="s">
        <v>336</v>
      </c>
      <c r="C102" s="9" t="s">
        <v>724</v>
      </c>
      <c r="D102" s="9" t="s">
        <v>61</v>
      </c>
      <c r="E102" s="10" t="s">
        <v>725</v>
      </c>
      <c r="F102" s="10" t="s">
        <v>726</v>
      </c>
      <c r="G102" s="10" t="s">
        <v>727</v>
      </c>
      <c r="H102" s="10" t="s">
        <v>728</v>
      </c>
      <c r="I102" s="10" t="s">
        <v>729</v>
      </c>
      <c r="J102" s="9" t="s">
        <v>180</v>
      </c>
      <c r="K102" s="9" t="s">
        <v>28</v>
      </c>
      <c r="L102" s="61" t="s">
        <v>967</v>
      </c>
      <c r="M102" s="17">
        <v>45956</v>
      </c>
      <c r="N102" s="17">
        <v>45956</v>
      </c>
      <c r="O102" s="16">
        <v>30</v>
      </c>
      <c r="P102" s="16" t="s">
        <v>29</v>
      </c>
      <c r="Q102" s="14" t="s">
        <v>31</v>
      </c>
      <c r="R102" s="16" t="s">
        <v>31</v>
      </c>
      <c r="S102" s="16" t="s">
        <v>766</v>
      </c>
    </row>
    <row r="103" spans="1:19" ht="120" x14ac:dyDescent="0.2">
      <c r="A103" s="15" t="s">
        <v>730</v>
      </c>
      <c r="B103" s="9" t="s">
        <v>336</v>
      </c>
      <c r="C103" s="19" t="s">
        <v>731</v>
      </c>
      <c r="D103" s="9" t="s">
        <v>61</v>
      </c>
      <c r="E103" s="10" t="s">
        <v>732</v>
      </c>
      <c r="F103" s="10" t="s">
        <v>733</v>
      </c>
      <c r="G103" s="10" t="s">
        <v>734</v>
      </c>
      <c r="H103" s="10" t="s">
        <v>735</v>
      </c>
      <c r="I103" s="10" t="s">
        <v>736</v>
      </c>
      <c r="J103" s="9" t="s">
        <v>180</v>
      </c>
      <c r="K103" s="9" t="s">
        <v>28</v>
      </c>
      <c r="L103" s="61" t="s">
        <v>967</v>
      </c>
      <c r="M103" s="17">
        <v>45956</v>
      </c>
      <c r="N103" s="17">
        <v>45956</v>
      </c>
      <c r="O103" s="16">
        <v>30</v>
      </c>
      <c r="P103" s="16" t="s">
        <v>29</v>
      </c>
      <c r="Q103" s="14" t="s">
        <v>31</v>
      </c>
      <c r="R103" s="16" t="s">
        <v>31</v>
      </c>
      <c r="S103" s="16" t="s">
        <v>766</v>
      </c>
    </row>
    <row r="104" spans="1:19" ht="90" x14ac:dyDescent="0.2">
      <c r="A104" s="15" t="s">
        <v>737</v>
      </c>
      <c r="B104" s="9" t="s">
        <v>336</v>
      </c>
      <c r="C104" s="69" t="s">
        <v>738</v>
      </c>
      <c r="D104" s="9" t="s">
        <v>61</v>
      </c>
      <c r="E104" s="10" t="s">
        <v>739</v>
      </c>
      <c r="F104" s="10" t="s">
        <v>740</v>
      </c>
      <c r="G104" s="10" t="s">
        <v>741</v>
      </c>
      <c r="H104" s="10" t="s">
        <v>735</v>
      </c>
      <c r="I104" s="10" t="s">
        <v>742</v>
      </c>
      <c r="J104" s="9" t="s">
        <v>180</v>
      </c>
      <c r="K104" s="9" t="s">
        <v>83</v>
      </c>
      <c r="L104" s="61" t="s">
        <v>967</v>
      </c>
      <c r="M104" s="17"/>
      <c r="N104" s="17"/>
      <c r="O104" s="16"/>
      <c r="P104" s="16" t="s">
        <v>29</v>
      </c>
      <c r="Q104" s="14" t="s">
        <v>67</v>
      </c>
      <c r="R104" s="16" t="s">
        <v>67</v>
      </c>
      <c r="S104" s="16" t="s">
        <v>768</v>
      </c>
    </row>
    <row r="105" spans="1:19" ht="120" x14ac:dyDescent="0.2">
      <c r="A105" s="15" t="s">
        <v>743</v>
      </c>
      <c r="B105" s="9" t="s">
        <v>336</v>
      </c>
      <c r="C105" s="69" t="s">
        <v>744</v>
      </c>
      <c r="D105" s="9" t="s">
        <v>61</v>
      </c>
      <c r="E105" s="10" t="s">
        <v>745</v>
      </c>
      <c r="F105" s="10" t="s">
        <v>746</v>
      </c>
      <c r="G105" s="10" t="s">
        <v>747</v>
      </c>
      <c r="H105" s="10" t="s">
        <v>728</v>
      </c>
      <c r="I105" s="10" t="s">
        <v>748</v>
      </c>
      <c r="J105" s="9" t="s">
        <v>27</v>
      </c>
      <c r="K105" s="9" t="s">
        <v>83</v>
      </c>
      <c r="L105" s="61" t="s">
        <v>967</v>
      </c>
      <c r="M105" s="16"/>
      <c r="N105" s="17"/>
      <c r="O105" s="16"/>
      <c r="P105" s="16" t="s">
        <v>29</v>
      </c>
      <c r="Q105" s="14" t="s">
        <v>67</v>
      </c>
      <c r="R105" s="16" t="s">
        <v>67</v>
      </c>
      <c r="S105" s="16" t="s">
        <v>768</v>
      </c>
    </row>
    <row r="106" spans="1:19" ht="225" x14ac:dyDescent="0.2">
      <c r="A106" s="15" t="s">
        <v>750</v>
      </c>
      <c r="B106" s="9" t="s">
        <v>751</v>
      </c>
      <c r="C106" s="69" t="s">
        <v>752</v>
      </c>
      <c r="D106" s="9" t="s">
        <v>753</v>
      </c>
      <c r="E106" s="11" t="s">
        <v>754</v>
      </c>
      <c r="F106" s="10" t="s">
        <v>755</v>
      </c>
      <c r="G106" s="10" t="s">
        <v>756</v>
      </c>
      <c r="H106" s="10" t="s">
        <v>757</v>
      </c>
      <c r="I106" s="10" t="s">
        <v>758</v>
      </c>
      <c r="J106" s="9" t="s">
        <v>58</v>
      </c>
      <c r="K106" s="9" t="s">
        <v>44</v>
      </c>
      <c r="L106" s="61" t="s">
        <v>967</v>
      </c>
      <c r="M106" s="17">
        <v>45956</v>
      </c>
      <c r="N106" s="17">
        <v>45956</v>
      </c>
      <c r="O106" s="16">
        <v>30</v>
      </c>
      <c r="P106" s="16" t="s">
        <v>112</v>
      </c>
      <c r="Q106" s="14" t="s">
        <v>67</v>
      </c>
      <c r="R106" s="16" t="s">
        <v>67</v>
      </c>
      <c r="S106" s="16" t="s">
        <v>768</v>
      </c>
    </row>
    <row r="107" spans="1:19" ht="180" x14ac:dyDescent="0.2">
      <c r="A107" s="15" t="s">
        <v>759</v>
      </c>
      <c r="B107" s="9" t="s">
        <v>751</v>
      </c>
      <c r="C107" s="69" t="s">
        <v>760</v>
      </c>
      <c r="D107" s="9" t="s">
        <v>761</v>
      </c>
      <c r="E107" s="11" t="s">
        <v>762</v>
      </c>
      <c r="F107" s="10" t="s">
        <v>763</v>
      </c>
      <c r="G107" s="10" t="s">
        <v>756</v>
      </c>
      <c r="H107" s="10" t="s">
        <v>757</v>
      </c>
      <c r="I107" s="10" t="s">
        <v>764</v>
      </c>
      <c r="J107" s="9" t="s">
        <v>765</v>
      </c>
      <c r="K107" s="9" t="s">
        <v>44</v>
      </c>
      <c r="L107" s="61" t="s">
        <v>967</v>
      </c>
      <c r="M107" s="17">
        <v>45956</v>
      </c>
      <c r="N107" s="17">
        <v>45956</v>
      </c>
      <c r="O107" s="16">
        <v>30</v>
      </c>
      <c r="P107" s="24" t="s">
        <v>112</v>
      </c>
      <c r="Q107" s="14" t="s">
        <v>67</v>
      </c>
      <c r="R107" s="24" t="s">
        <v>67</v>
      </c>
      <c r="S107" s="24" t="s">
        <v>767</v>
      </c>
    </row>
  </sheetData>
  <hyperlinks>
    <hyperlink ref="L2" r:id="rId1" xr:uid="{4748B3E3-5ED3-406F-9355-FCAB36B12755}"/>
    <hyperlink ref="L3:L107" r:id="rId2" display="Ver Reporte de Evidencias" xr:uid="{E508501C-C58A-4B67-92F2-F2F909D5B379}"/>
  </hyperlinks>
  <pageMargins left="0.7" right="0.7" top="0.75" bottom="0.75" header="0.3" footer="0.3"/>
  <pageSetup paperSize="9" orientation="portrait"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6A44-9C6C-4938-B55E-24FD631B937D}">
  <dimension ref="A3:L119"/>
  <sheetViews>
    <sheetView showGridLines="0" topLeftCell="A75" zoomScale="77" workbookViewId="0">
      <selection activeCell="E8" sqref="E8"/>
    </sheetView>
  </sheetViews>
  <sheetFormatPr baseColWidth="10" defaultColWidth="11.42578125" defaultRowHeight="15" x14ac:dyDescent="0.25"/>
  <cols>
    <col min="2" max="2" width="39.28515625" customWidth="1"/>
    <col min="3" max="3" width="66.85546875" bestFit="1" customWidth="1"/>
    <col min="4" max="4" width="14.85546875" customWidth="1"/>
    <col min="5" max="6" width="13.28515625" customWidth="1"/>
    <col min="7" max="7" width="16.28515625" customWidth="1"/>
    <col min="8" max="8" width="17.28515625" customWidth="1"/>
    <col min="9" max="9" width="16" customWidth="1"/>
    <col min="10" max="10" width="47.28515625" style="48" customWidth="1"/>
    <col min="12" max="12" width="0" hidden="1" customWidth="1"/>
  </cols>
  <sheetData>
    <row r="3" spans="1:12" ht="18" x14ac:dyDescent="0.25">
      <c r="B3" s="66" t="s">
        <v>845</v>
      </c>
      <c r="C3" s="67" t="s">
        <v>846</v>
      </c>
    </row>
    <row r="4" spans="1:12" ht="45.75" x14ac:dyDescent="0.25">
      <c r="B4" s="62" t="s">
        <v>847</v>
      </c>
      <c r="C4" s="63" t="s">
        <v>848</v>
      </c>
    </row>
    <row r="5" spans="1:12" ht="60.75" x14ac:dyDescent="0.25">
      <c r="B5" s="62" t="s">
        <v>849</v>
      </c>
      <c r="C5" s="63" t="s">
        <v>850</v>
      </c>
    </row>
    <row r="6" spans="1:12" ht="45.75" x14ac:dyDescent="0.25">
      <c r="B6" s="62" t="s">
        <v>851</v>
      </c>
      <c r="C6" s="63" t="s">
        <v>852</v>
      </c>
    </row>
    <row r="7" spans="1:12" ht="30.75" x14ac:dyDescent="0.25">
      <c r="B7" s="62" t="s">
        <v>853</v>
      </c>
      <c r="C7" s="63" t="s">
        <v>854</v>
      </c>
    </row>
    <row r="8" spans="1:12" ht="75.75" x14ac:dyDescent="0.25">
      <c r="B8" s="64" t="s">
        <v>855</v>
      </c>
      <c r="C8" s="65" t="s">
        <v>856</v>
      </c>
    </row>
    <row r="14" spans="1:12" ht="30" x14ac:dyDescent="0.25">
      <c r="A14" s="49" t="s">
        <v>0</v>
      </c>
      <c r="B14" s="49" t="s">
        <v>1</v>
      </c>
      <c r="C14" s="49" t="s">
        <v>2</v>
      </c>
      <c r="D14" s="49" t="s">
        <v>857</v>
      </c>
      <c r="E14" s="49" t="s">
        <v>858</v>
      </c>
      <c r="F14" s="49" t="s">
        <v>851</v>
      </c>
      <c r="G14" s="49" t="s">
        <v>859</v>
      </c>
      <c r="H14" s="49" t="s">
        <v>860</v>
      </c>
      <c r="I14" s="49" t="s">
        <v>861</v>
      </c>
      <c r="J14" s="49" t="s">
        <v>862</v>
      </c>
    </row>
    <row r="15" spans="1:12" ht="105" x14ac:dyDescent="0.25">
      <c r="A15" s="50" t="s">
        <v>18</v>
      </c>
      <c r="B15" s="50" t="s">
        <v>19</v>
      </c>
      <c r="C15" s="50" t="s">
        <v>20</v>
      </c>
      <c r="D15" s="50" t="s">
        <v>27</v>
      </c>
      <c r="E15" s="50" t="s">
        <v>27</v>
      </c>
      <c r="F15" s="50" t="s">
        <v>27</v>
      </c>
      <c r="G15" s="50" t="s">
        <v>30</v>
      </c>
      <c r="H15" s="50" t="s">
        <v>27</v>
      </c>
      <c r="I15" s="50" t="str">
        <f>VLOOKUP(Tabla55[[#This Row],[ID_CASO]],Tabla1[[ID_CASO]:[Automatizable]],17,FALSE)</f>
        <v>Si</v>
      </c>
      <c r="J15" s="51" t="s">
        <v>863</v>
      </c>
      <c r="L15" t="s">
        <v>27</v>
      </c>
    </row>
    <row r="16" spans="1:12" ht="120" x14ac:dyDescent="0.25">
      <c r="A16" s="50" t="s">
        <v>32</v>
      </c>
      <c r="B16" s="50" t="s">
        <v>19</v>
      </c>
      <c r="C16" s="50" t="s">
        <v>33</v>
      </c>
      <c r="D16" s="50" t="s">
        <v>27</v>
      </c>
      <c r="E16" s="50" t="s">
        <v>27</v>
      </c>
      <c r="F16" s="50" t="s">
        <v>27</v>
      </c>
      <c r="G16" s="50" t="s">
        <v>30</v>
      </c>
      <c r="H16" s="50" t="s">
        <v>27</v>
      </c>
      <c r="I16" s="50" t="str">
        <f>VLOOKUP(Tabla55[[#This Row],[ID_CASO]],Tabla1[[ID_CASO]:[Automatizable]],17,FALSE)</f>
        <v>Si</v>
      </c>
      <c r="J16" s="51" t="s">
        <v>864</v>
      </c>
      <c r="L16" t="s">
        <v>58</v>
      </c>
    </row>
    <row r="17" spans="1:12" ht="105" x14ac:dyDescent="0.25">
      <c r="A17" s="50" t="s">
        <v>37</v>
      </c>
      <c r="B17" s="50" t="s">
        <v>19</v>
      </c>
      <c r="C17" s="50" t="s">
        <v>38</v>
      </c>
      <c r="D17" s="50" t="s">
        <v>58</v>
      </c>
      <c r="E17" s="50" t="s">
        <v>27</v>
      </c>
      <c r="F17" s="50" t="s">
        <v>58</v>
      </c>
      <c r="G17" s="50" t="s">
        <v>749</v>
      </c>
      <c r="H17" s="50" t="s">
        <v>58</v>
      </c>
      <c r="I17" s="50" t="str">
        <f>VLOOKUP(Tabla55[[#This Row],[ID_CASO]],Tabla1[[ID_CASO]:[Automatizable]],17,FALSE)</f>
        <v>SI</v>
      </c>
      <c r="J17" s="51" t="s">
        <v>865</v>
      </c>
      <c r="L17" t="s">
        <v>765</v>
      </c>
    </row>
    <row r="18" spans="1:12" ht="90" x14ac:dyDescent="0.25">
      <c r="A18" s="50" t="s">
        <v>45</v>
      </c>
      <c r="B18" s="50" t="s">
        <v>19</v>
      </c>
      <c r="C18" s="50" t="s">
        <v>46</v>
      </c>
      <c r="D18" s="50" t="s">
        <v>58</v>
      </c>
      <c r="E18" s="50" t="s">
        <v>27</v>
      </c>
      <c r="F18" s="50" t="s">
        <v>58</v>
      </c>
      <c r="G18" s="50" t="s">
        <v>30</v>
      </c>
      <c r="H18" s="50" t="s">
        <v>27</v>
      </c>
      <c r="I18" s="50" t="str">
        <f>VLOOKUP(Tabla55[[#This Row],[ID_CASO]],Tabla1[[ID_CASO]:[Automatizable]],17,FALSE)</f>
        <v>Si</v>
      </c>
      <c r="J18" s="51" t="s">
        <v>866</v>
      </c>
    </row>
    <row r="19" spans="1:12" ht="90" x14ac:dyDescent="0.25">
      <c r="A19" s="50" t="s">
        <v>51</v>
      </c>
      <c r="B19" s="50" t="s">
        <v>19</v>
      </c>
      <c r="C19" s="50" t="s">
        <v>52</v>
      </c>
      <c r="D19" s="50" t="s">
        <v>58</v>
      </c>
      <c r="E19" s="50" t="s">
        <v>58</v>
      </c>
      <c r="F19" s="50" t="s">
        <v>27</v>
      </c>
      <c r="G19" s="50" t="s">
        <v>30</v>
      </c>
      <c r="H19" s="50" t="s">
        <v>27</v>
      </c>
      <c r="I19" s="50" t="str">
        <f>VLOOKUP(Tabla55[[#This Row],[ID_CASO]],Tabla1[[ID_CASO]:[Automatizable]],17,FALSE)</f>
        <v>Si</v>
      </c>
      <c r="J19" s="51" t="s">
        <v>867</v>
      </c>
    </row>
    <row r="20" spans="1:12" ht="45" x14ac:dyDescent="0.25">
      <c r="A20" s="50" t="s">
        <v>59</v>
      </c>
      <c r="B20" s="50" t="s">
        <v>19</v>
      </c>
      <c r="C20" s="50" t="s">
        <v>60</v>
      </c>
      <c r="D20" s="50" t="s">
        <v>27</v>
      </c>
      <c r="E20" s="50" t="s">
        <v>27</v>
      </c>
      <c r="F20" s="50" t="s">
        <v>27</v>
      </c>
      <c r="G20" s="50" t="s">
        <v>30</v>
      </c>
      <c r="H20" s="50" t="s">
        <v>27</v>
      </c>
      <c r="I20" s="50" t="str">
        <f>VLOOKUP(Tabla55[[#This Row],[ID_CASO]],Tabla1[[ID_CASO]:[Automatizable]],17,FALSE)</f>
        <v>NO</v>
      </c>
      <c r="J20" s="51" t="s">
        <v>961</v>
      </c>
      <c r="L20" t="s">
        <v>30</v>
      </c>
    </row>
    <row r="21" spans="1:12" ht="90" x14ac:dyDescent="0.25">
      <c r="A21" s="50" t="s">
        <v>68</v>
      </c>
      <c r="B21" s="50" t="s">
        <v>19</v>
      </c>
      <c r="C21" s="50" t="s">
        <v>69</v>
      </c>
      <c r="D21" s="50" t="s">
        <v>27</v>
      </c>
      <c r="E21" s="50" t="s">
        <v>27</v>
      </c>
      <c r="F21" s="50" t="s">
        <v>27</v>
      </c>
      <c r="G21" s="50" t="s">
        <v>30</v>
      </c>
      <c r="H21" s="50" t="s">
        <v>27</v>
      </c>
      <c r="I21" s="50" t="str">
        <f>VLOOKUP(Tabla55[[#This Row],[ID_CASO]],Tabla1[[ID_CASO]:[Automatizable]],17,FALSE)</f>
        <v>Si</v>
      </c>
      <c r="J21" s="51" t="s">
        <v>868</v>
      </c>
      <c r="L21" t="s">
        <v>749</v>
      </c>
    </row>
    <row r="22" spans="1:12" ht="30" x14ac:dyDescent="0.25">
      <c r="A22" s="50" t="s">
        <v>76</v>
      </c>
      <c r="B22" s="50" t="s">
        <v>19</v>
      </c>
      <c r="C22" s="50" t="s">
        <v>77</v>
      </c>
      <c r="D22" s="50" t="s">
        <v>27</v>
      </c>
      <c r="E22" s="50" t="s">
        <v>27</v>
      </c>
      <c r="F22" s="50" t="s">
        <v>27</v>
      </c>
      <c r="G22" s="50" t="s">
        <v>30</v>
      </c>
      <c r="H22" s="50" t="s">
        <v>27</v>
      </c>
      <c r="I22" s="50" t="str">
        <f>VLOOKUP(Tabla55[[#This Row],[ID_CASO]],Tabla1[[ID_CASO]:[Automatizable]],17,FALSE)</f>
        <v>NO</v>
      </c>
      <c r="J22" s="51" t="s">
        <v>962</v>
      </c>
    </row>
    <row r="23" spans="1:12" ht="30.75" x14ac:dyDescent="0.25">
      <c r="A23" s="52" t="s">
        <v>84</v>
      </c>
      <c r="B23" s="52" t="s">
        <v>19</v>
      </c>
      <c r="C23" s="52" t="s">
        <v>85</v>
      </c>
      <c r="D23" s="52" t="s">
        <v>58</v>
      </c>
      <c r="E23" s="52" t="s">
        <v>27</v>
      </c>
      <c r="F23" s="52" t="s">
        <v>27</v>
      </c>
      <c r="G23" s="52" t="s">
        <v>30</v>
      </c>
      <c r="H23" s="52" t="s">
        <v>58</v>
      </c>
      <c r="I23" s="50" t="str">
        <f>VLOOKUP(Tabla55[[#This Row],[ID_CASO]],Tabla1[[ID_CASO]:[Automatizable]],17,FALSE)</f>
        <v>NO</v>
      </c>
      <c r="J23" s="52" t="s">
        <v>869</v>
      </c>
    </row>
    <row r="24" spans="1:12" ht="90" x14ac:dyDescent="0.25">
      <c r="A24" s="50" t="s">
        <v>90</v>
      </c>
      <c r="B24" s="50" t="s">
        <v>19</v>
      </c>
      <c r="C24" s="50" t="s">
        <v>91</v>
      </c>
      <c r="D24" s="50" t="s">
        <v>27</v>
      </c>
      <c r="E24" s="50" t="s">
        <v>27</v>
      </c>
      <c r="F24" s="50" t="s">
        <v>27</v>
      </c>
      <c r="G24" s="50" t="s">
        <v>30</v>
      </c>
      <c r="H24" s="50" t="s">
        <v>27</v>
      </c>
      <c r="I24" s="50" t="str">
        <f>VLOOKUP(Tabla55[[#This Row],[ID_CASO]],Tabla1[[ID_CASO]:[Automatizable]],17,FALSE)</f>
        <v>NO</v>
      </c>
      <c r="J24" s="51" t="s">
        <v>963</v>
      </c>
    </row>
    <row r="25" spans="1:12" ht="75" x14ac:dyDescent="0.25">
      <c r="A25" s="50" t="s">
        <v>96</v>
      </c>
      <c r="B25" s="50" t="s">
        <v>19</v>
      </c>
      <c r="C25" s="50" t="s">
        <v>97</v>
      </c>
      <c r="D25" s="50" t="s">
        <v>27</v>
      </c>
      <c r="E25" s="50" t="s">
        <v>27</v>
      </c>
      <c r="F25" s="50" t="s">
        <v>27</v>
      </c>
      <c r="G25" s="50" t="s">
        <v>30</v>
      </c>
      <c r="H25" s="50" t="s">
        <v>27</v>
      </c>
      <c r="I25" s="50" t="str">
        <f>VLOOKUP(Tabla55[[#This Row],[ID_CASO]],Tabla1[[ID_CASO]:[Automatizable]],17,FALSE)</f>
        <v>Si</v>
      </c>
      <c r="J25" s="51" t="s">
        <v>870</v>
      </c>
    </row>
    <row r="26" spans="1:12" ht="60" x14ac:dyDescent="0.25">
      <c r="A26" s="50" t="s">
        <v>104</v>
      </c>
      <c r="B26" s="50" t="s">
        <v>105</v>
      </c>
      <c r="C26" s="50" t="s">
        <v>106</v>
      </c>
      <c r="D26" s="50" t="s">
        <v>58</v>
      </c>
      <c r="E26" s="50" t="s">
        <v>27</v>
      </c>
      <c r="F26" s="50" t="s">
        <v>58</v>
      </c>
      <c r="G26" s="50" t="s">
        <v>30</v>
      </c>
      <c r="H26" s="50" t="s">
        <v>27</v>
      </c>
      <c r="I26" s="50" t="str">
        <f>VLOOKUP(Tabla55[[#This Row],[ID_CASO]],Tabla1[[ID_CASO]:[Automatizable]],17,FALSE)</f>
        <v>Si</v>
      </c>
      <c r="J26" s="51" t="s">
        <v>871</v>
      </c>
    </row>
    <row r="27" spans="1:12" ht="120" x14ac:dyDescent="0.25">
      <c r="A27" s="50" t="s">
        <v>113</v>
      </c>
      <c r="B27" s="50" t="s">
        <v>105</v>
      </c>
      <c r="C27" s="50" t="s">
        <v>114</v>
      </c>
      <c r="D27" s="50" t="s">
        <v>58</v>
      </c>
      <c r="E27" s="50" t="s">
        <v>27</v>
      </c>
      <c r="F27" s="50" t="s">
        <v>27</v>
      </c>
      <c r="G27" s="50" t="s">
        <v>30</v>
      </c>
      <c r="H27" s="50" t="s">
        <v>27</v>
      </c>
      <c r="I27" s="50" t="str">
        <f>VLOOKUP(Tabla55[[#This Row],[ID_CASO]],Tabla1[[ID_CASO]:[Automatizable]],17,FALSE)</f>
        <v>Si</v>
      </c>
      <c r="J27" s="51" t="s">
        <v>872</v>
      </c>
    </row>
    <row r="28" spans="1:12" ht="60" x14ac:dyDescent="0.25">
      <c r="A28" s="50" t="s">
        <v>120</v>
      </c>
      <c r="B28" s="50" t="s">
        <v>105</v>
      </c>
      <c r="C28" s="50" t="s">
        <v>121</v>
      </c>
      <c r="D28" s="50" t="s">
        <v>58</v>
      </c>
      <c r="E28" s="50" t="s">
        <v>58</v>
      </c>
      <c r="F28" s="50" t="s">
        <v>27</v>
      </c>
      <c r="G28" s="50" t="s">
        <v>30</v>
      </c>
      <c r="H28" s="50" t="s">
        <v>27</v>
      </c>
      <c r="I28" s="50" t="str">
        <f>VLOOKUP(Tabla55[[#This Row],[ID_CASO]],Tabla1[[ID_CASO]:[Automatizable]],17,FALSE)</f>
        <v>SI</v>
      </c>
      <c r="J28" s="51" t="s">
        <v>873</v>
      </c>
    </row>
    <row r="29" spans="1:12" ht="30" x14ac:dyDescent="0.25">
      <c r="A29" s="50" t="s">
        <v>127</v>
      </c>
      <c r="B29" s="50" t="s">
        <v>105</v>
      </c>
      <c r="C29" s="50" t="s">
        <v>128</v>
      </c>
      <c r="D29" s="50" t="s">
        <v>58</v>
      </c>
      <c r="E29" s="50" t="s">
        <v>27</v>
      </c>
      <c r="F29" s="50" t="s">
        <v>27</v>
      </c>
      <c r="G29" s="50" t="s">
        <v>30</v>
      </c>
      <c r="H29" s="50" t="s">
        <v>58</v>
      </c>
      <c r="I29" s="50" t="str">
        <f>VLOOKUP(Tabla55[[#This Row],[ID_CASO]],Tabla1[[ID_CASO]:[Automatizable]],17,FALSE)</f>
        <v>SI</v>
      </c>
      <c r="J29" s="51" t="s">
        <v>874</v>
      </c>
    </row>
    <row r="30" spans="1:12" ht="60" x14ac:dyDescent="0.25">
      <c r="A30" s="50" t="s">
        <v>134</v>
      </c>
      <c r="B30" s="50" t="s">
        <v>105</v>
      </c>
      <c r="C30" s="50" t="s">
        <v>135</v>
      </c>
      <c r="D30" s="50" t="s">
        <v>58</v>
      </c>
      <c r="E30" s="50" t="s">
        <v>27</v>
      </c>
      <c r="F30" s="50" t="s">
        <v>27</v>
      </c>
      <c r="G30" s="50" t="s">
        <v>30</v>
      </c>
      <c r="H30" s="50" t="s">
        <v>27</v>
      </c>
      <c r="I30" s="50" t="str">
        <f>VLOOKUP(Tabla55[[#This Row],[ID_CASO]],Tabla1[[ID_CASO]:[Automatizable]],17,FALSE)</f>
        <v>SI</v>
      </c>
      <c r="J30" s="51" t="s">
        <v>875</v>
      </c>
    </row>
    <row r="31" spans="1:12" ht="45" x14ac:dyDescent="0.25">
      <c r="A31" s="50" t="s">
        <v>140</v>
      </c>
      <c r="B31" s="50" t="s">
        <v>105</v>
      </c>
      <c r="C31" s="50" t="s">
        <v>141</v>
      </c>
      <c r="D31" s="50" t="s">
        <v>27</v>
      </c>
      <c r="E31" s="50" t="s">
        <v>27</v>
      </c>
      <c r="F31" s="50" t="s">
        <v>27</v>
      </c>
      <c r="G31" s="50" t="s">
        <v>30</v>
      </c>
      <c r="H31" s="50" t="s">
        <v>27</v>
      </c>
      <c r="I31" s="50" t="str">
        <f>VLOOKUP(Tabla55[[#This Row],[ID_CASO]],Tabla1[[ID_CASO]:[Automatizable]],17,FALSE)</f>
        <v>SI</v>
      </c>
      <c r="J31" s="51" t="s">
        <v>876</v>
      </c>
    </row>
    <row r="32" spans="1:12" ht="90" x14ac:dyDescent="0.25">
      <c r="A32" s="50" t="s">
        <v>146</v>
      </c>
      <c r="B32" s="50" t="s">
        <v>105</v>
      </c>
      <c r="C32" s="50" t="s">
        <v>877</v>
      </c>
      <c r="D32" s="50" t="s">
        <v>27</v>
      </c>
      <c r="E32" s="50" t="s">
        <v>27</v>
      </c>
      <c r="F32" s="50" t="s">
        <v>27</v>
      </c>
      <c r="G32" s="50" t="s">
        <v>30</v>
      </c>
      <c r="H32" s="50" t="s">
        <v>27</v>
      </c>
      <c r="I32" s="50" t="str">
        <f>VLOOKUP(Tabla55[[#This Row],[ID_CASO]],Tabla1[[ID_CASO]:[Automatizable]],17,FALSE)</f>
        <v>SI</v>
      </c>
      <c r="J32" s="51" t="s">
        <v>878</v>
      </c>
    </row>
    <row r="33" spans="1:10" s="53" customFormat="1" ht="90.75" customHeight="1" x14ac:dyDescent="0.25">
      <c r="A33" s="50" t="s">
        <v>153</v>
      </c>
      <c r="B33" s="50" t="s">
        <v>154</v>
      </c>
      <c r="C33" s="50" t="s">
        <v>155</v>
      </c>
      <c r="D33" s="50" t="s">
        <v>27</v>
      </c>
      <c r="E33" s="50" t="s">
        <v>27</v>
      </c>
      <c r="F33" s="50" t="s">
        <v>27</v>
      </c>
      <c r="G33" s="50" t="s">
        <v>30</v>
      </c>
      <c r="H33" s="50" t="s">
        <v>27</v>
      </c>
      <c r="I33" s="50" t="str">
        <f>VLOOKUP(Tabla55[[#This Row],[ID_CASO]],Tabla1[[ID_CASO]:[Automatizable]],17,FALSE)</f>
        <v>SI</v>
      </c>
      <c r="J33" s="51" t="s">
        <v>879</v>
      </c>
    </row>
    <row r="34" spans="1:10" s="53" customFormat="1" ht="87.75" customHeight="1" x14ac:dyDescent="0.25">
      <c r="A34" s="50" t="s">
        <v>161</v>
      </c>
      <c r="B34" s="50" t="s">
        <v>154</v>
      </c>
      <c r="C34" s="50" t="s">
        <v>162</v>
      </c>
      <c r="D34" s="50" t="s">
        <v>27</v>
      </c>
      <c r="E34" s="50" t="s">
        <v>27</v>
      </c>
      <c r="F34" s="50" t="s">
        <v>27</v>
      </c>
      <c r="G34" s="50" t="s">
        <v>30</v>
      </c>
      <c r="H34" s="50" t="s">
        <v>27</v>
      </c>
      <c r="I34" s="50" t="str">
        <f>VLOOKUP(Tabla55[[#This Row],[ID_CASO]],Tabla1[[ID_CASO]:[Automatizable]],17,FALSE)</f>
        <v>SI</v>
      </c>
      <c r="J34" s="51" t="s">
        <v>880</v>
      </c>
    </row>
    <row r="35" spans="1:10" s="54" customFormat="1" ht="75" x14ac:dyDescent="0.25">
      <c r="A35" s="51" t="s">
        <v>168</v>
      </c>
      <c r="B35" s="51" t="s">
        <v>154</v>
      </c>
      <c r="C35" s="51" t="s">
        <v>169</v>
      </c>
      <c r="D35" s="51" t="s">
        <v>58</v>
      </c>
      <c r="E35" s="51" t="s">
        <v>58</v>
      </c>
      <c r="F35" s="51" t="s">
        <v>27</v>
      </c>
      <c r="G35" s="51" t="s">
        <v>30</v>
      </c>
      <c r="H35" s="51" t="s">
        <v>27</v>
      </c>
      <c r="I35" s="50" t="str">
        <f>VLOOKUP(Tabla55[[#This Row],[ID_CASO]],Tabla1[[ID_CASO]:[Automatizable]],17,FALSE)</f>
        <v>SI</v>
      </c>
      <c r="J35" s="51" t="s">
        <v>881</v>
      </c>
    </row>
    <row r="36" spans="1:10" s="54" customFormat="1" ht="75" x14ac:dyDescent="0.25">
      <c r="A36" s="51" t="s">
        <v>174</v>
      </c>
      <c r="B36" s="51" t="s">
        <v>154</v>
      </c>
      <c r="C36" s="51" t="s">
        <v>175</v>
      </c>
      <c r="D36" s="51" t="s">
        <v>27</v>
      </c>
      <c r="E36" s="51" t="s">
        <v>27</v>
      </c>
      <c r="F36" s="51" t="s">
        <v>27</v>
      </c>
      <c r="G36" s="51" t="s">
        <v>30</v>
      </c>
      <c r="H36" s="51" t="s">
        <v>27</v>
      </c>
      <c r="I36" s="50" t="str">
        <f>VLOOKUP(Tabla55[[#This Row],[ID_CASO]],Tabla1[[ID_CASO]:[Automatizable]],17,FALSE)</f>
        <v>SI</v>
      </c>
      <c r="J36" s="51" t="s">
        <v>882</v>
      </c>
    </row>
    <row r="37" spans="1:10" s="54" customFormat="1" ht="96" customHeight="1" x14ac:dyDescent="0.25">
      <c r="A37" s="51" t="s">
        <v>181</v>
      </c>
      <c r="B37" s="51" t="s">
        <v>154</v>
      </c>
      <c r="C37" s="51" t="s">
        <v>182</v>
      </c>
      <c r="D37" s="51" t="s">
        <v>58</v>
      </c>
      <c r="E37" s="51" t="s">
        <v>58</v>
      </c>
      <c r="F37" s="51" t="s">
        <v>58</v>
      </c>
      <c r="G37" s="51" t="s">
        <v>749</v>
      </c>
      <c r="H37" s="51" t="s">
        <v>58</v>
      </c>
      <c r="I37" s="50" t="str">
        <f>VLOOKUP(Tabla55[[#This Row],[ID_CASO]],Tabla1[[ID_CASO]:[Automatizable]],17,FALSE)</f>
        <v>NO</v>
      </c>
      <c r="J37" s="51" t="s">
        <v>883</v>
      </c>
    </row>
    <row r="38" spans="1:10" ht="90.75" x14ac:dyDescent="0.25">
      <c r="A38" s="55" t="s">
        <v>188</v>
      </c>
      <c r="B38" s="55" t="s">
        <v>189</v>
      </c>
      <c r="C38" s="55" t="s">
        <v>190</v>
      </c>
      <c r="D38" s="55" t="s">
        <v>58</v>
      </c>
      <c r="E38" s="55" t="s">
        <v>58</v>
      </c>
      <c r="F38" s="55" t="s">
        <v>27</v>
      </c>
      <c r="G38" s="55" t="s">
        <v>30</v>
      </c>
      <c r="H38" s="55" t="s">
        <v>27</v>
      </c>
      <c r="I38" s="50" t="str">
        <f>VLOOKUP(Tabla55[[#This Row],[ID_CASO]],Tabla1[[ID_CASO]:[Automatizable]],17,FALSE)</f>
        <v>NO</v>
      </c>
      <c r="J38" s="52" t="s">
        <v>884</v>
      </c>
    </row>
    <row r="39" spans="1:10" ht="75.75" x14ac:dyDescent="0.25">
      <c r="A39" s="55" t="s">
        <v>195</v>
      </c>
      <c r="B39" s="55" t="s">
        <v>189</v>
      </c>
      <c r="C39" s="55" t="s">
        <v>196</v>
      </c>
      <c r="D39" s="55" t="s">
        <v>58</v>
      </c>
      <c r="E39" s="55" t="s">
        <v>27</v>
      </c>
      <c r="F39" s="55" t="s">
        <v>27</v>
      </c>
      <c r="G39" s="55" t="s">
        <v>30</v>
      </c>
      <c r="H39" s="55" t="s">
        <v>27</v>
      </c>
      <c r="I39" s="50" t="str">
        <f>VLOOKUP(Tabla55[[#This Row],[ID_CASO]],Tabla1[[ID_CASO]:[Automatizable]],17,FALSE)</f>
        <v>NO</v>
      </c>
      <c r="J39" s="52" t="s">
        <v>885</v>
      </c>
    </row>
    <row r="40" spans="1:10" ht="60.75" x14ac:dyDescent="0.25">
      <c r="A40" s="55" t="s">
        <v>202</v>
      </c>
      <c r="B40" s="55" t="s">
        <v>189</v>
      </c>
      <c r="C40" s="55" t="s">
        <v>203</v>
      </c>
      <c r="D40" s="55" t="s">
        <v>58</v>
      </c>
      <c r="E40" s="55" t="s">
        <v>27</v>
      </c>
      <c r="F40" s="55" t="s">
        <v>27</v>
      </c>
      <c r="G40" s="55" t="s">
        <v>30</v>
      </c>
      <c r="H40" s="55" t="s">
        <v>27</v>
      </c>
      <c r="I40" s="50" t="str">
        <f>VLOOKUP(Tabla55[[#This Row],[ID_CASO]],Tabla1[[ID_CASO]:[Automatizable]],17,FALSE)</f>
        <v>NO</v>
      </c>
      <c r="J40" s="52" t="s">
        <v>886</v>
      </c>
    </row>
    <row r="41" spans="1:10" ht="60.75" x14ac:dyDescent="0.25">
      <c r="A41" s="55" t="s">
        <v>208</v>
      </c>
      <c r="B41" s="55" t="s">
        <v>189</v>
      </c>
      <c r="C41" s="55" t="s">
        <v>209</v>
      </c>
      <c r="D41" s="55" t="s">
        <v>58</v>
      </c>
      <c r="E41" s="55" t="s">
        <v>58</v>
      </c>
      <c r="F41" s="55" t="s">
        <v>27</v>
      </c>
      <c r="G41" s="55" t="s">
        <v>30</v>
      </c>
      <c r="H41" s="55" t="s">
        <v>27</v>
      </c>
      <c r="I41" s="50" t="str">
        <f>VLOOKUP(Tabla55[[#This Row],[ID_CASO]],Tabla1[[ID_CASO]:[Automatizable]],17,FALSE)</f>
        <v>NO</v>
      </c>
      <c r="J41" s="52" t="s">
        <v>887</v>
      </c>
    </row>
    <row r="42" spans="1:10" ht="60.75" x14ac:dyDescent="0.25">
      <c r="A42" s="55" t="s">
        <v>215</v>
      </c>
      <c r="B42" s="55" t="s">
        <v>189</v>
      </c>
      <c r="C42" s="55" t="s">
        <v>216</v>
      </c>
      <c r="D42" s="55" t="s">
        <v>58</v>
      </c>
      <c r="E42" s="55" t="s">
        <v>27</v>
      </c>
      <c r="F42" s="55" t="s">
        <v>27</v>
      </c>
      <c r="G42" s="55" t="s">
        <v>30</v>
      </c>
      <c r="H42" s="55" t="s">
        <v>27</v>
      </c>
      <c r="I42" s="50" t="str">
        <f>VLOOKUP(Tabla55[[#This Row],[ID_CASO]],Tabla1[[ID_CASO]:[Automatizable]],17,FALSE)</f>
        <v>NO</v>
      </c>
      <c r="J42" s="52" t="s">
        <v>888</v>
      </c>
    </row>
    <row r="43" spans="1:10" ht="60.75" x14ac:dyDescent="0.25">
      <c r="A43" s="55" t="s">
        <v>222</v>
      </c>
      <c r="B43" s="55" t="s">
        <v>189</v>
      </c>
      <c r="C43" s="55" t="s">
        <v>223</v>
      </c>
      <c r="D43" s="55" t="s">
        <v>58</v>
      </c>
      <c r="E43" s="55" t="s">
        <v>27</v>
      </c>
      <c r="F43" s="55" t="s">
        <v>27</v>
      </c>
      <c r="G43" s="55" t="s">
        <v>30</v>
      </c>
      <c r="H43" s="55" t="s">
        <v>58</v>
      </c>
      <c r="I43" s="50" t="str">
        <f>VLOOKUP(Tabla55[[#This Row],[ID_CASO]],Tabla1[[ID_CASO]:[Automatizable]],17,FALSE)</f>
        <v>NO</v>
      </c>
      <c r="J43" s="52" t="s">
        <v>889</v>
      </c>
    </row>
    <row r="44" spans="1:10" ht="75" x14ac:dyDescent="0.25">
      <c r="A44" s="50" t="s">
        <v>228</v>
      </c>
      <c r="B44" s="50" t="s">
        <v>229</v>
      </c>
      <c r="C44" s="50" t="s">
        <v>230</v>
      </c>
      <c r="D44" s="50" t="s">
        <v>27</v>
      </c>
      <c r="E44" s="50" t="s">
        <v>27</v>
      </c>
      <c r="F44" s="50" t="s">
        <v>27</v>
      </c>
      <c r="G44" s="50" t="s">
        <v>30</v>
      </c>
      <c r="H44" s="50" t="s">
        <v>27</v>
      </c>
      <c r="I44" s="50" t="str">
        <f>VLOOKUP(Tabla55[[#This Row],[ID_CASO]],Tabla1[[ID_CASO]:[Automatizable]],17,FALSE)</f>
        <v>SI</v>
      </c>
      <c r="J44" s="51" t="s">
        <v>890</v>
      </c>
    </row>
    <row r="45" spans="1:10" ht="60" x14ac:dyDescent="0.25">
      <c r="A45" s="50" t="s">
        <v>236</v>
      </c>
      <c r="B45" s="50" t="s">
        <v>229</v>
      </c>
      <c r="C45" s="50" t="s">
        <v>237</v>
      </c>
      <c r="D45" s="50" t="s">
        <v>58</v>
      </c>
      <c r="E45" s="50" t="s">
        <v>27</v>
      </c>
      <c r="F45" s="50" t="s">
        <v>27</v>
      </c>
      <c r="G45" s="50" t="s">
        <v>30</v>
      </c>
      <c r="H45" s="50" t="s">
        <v>58</v>
      </c>
      <c r="I45" s="50" t="str">
        <f>VLOOKUP(Tabla55[[#This Row],[ID_CASO]],Tabla1[[ID_CASO]:[Automatizable]],17,FALSE)</f>
        <v>SI</v>
      </c>
      <c r="J45" s="51" t="s">
        <v>891</v>
      </c>
    </row>
    <row r="46" spans="1:10" ht="60" x14ac:dyDescent="0.25">
      <c r="A46" s="50" t="s">
        <v>243</v>
      </c>
      <c r="B46" s="50" t="s">
        <v>229</v>
      </c>
      <c r="C46" s="50" t="s">
        <v>244</v>
      </c>
      <c r="D46" s="50" t="s">
        <v>58</v>
      </c>
      <c r="E46" s="50" t="s">
        <v>27</v>
      </c>
      <c r="F46" s="50" t="s">
        <v>27</v>
      </c>
      <c r="G46" s="50" t="s">
        <v>30</v>
      </c>
      <c r="H46" s="50" t="s">
        <v>27</v>
      </c>
      <c r="I46" s="50" t="str">
        <f>VLOOKUP(Tabla55[[#This Row],[ID_CASO]],Tabla1[[ID_CASO]:[Automatizable]],17,FALSE)</f>
        <v>NO</v>
      </c>
      <c r="J46" s="51" t="s">
        <v>892</v>
      </c>
    </row>
    <row r="47" spans="1:10" ht="60" x14ac:dyDescent="0.25">
      <c r="A47" s="50" t="s">
        <v>250</v>
      </c>
      <c r="B47" s="50" t="s">
        <v>229</v>
      </c>
      <c r="C47" s="50" t="s">
        <v>251</v>
      </c>
      <c r="D47" s="50" t="s">
        <v>27</v>
      </c>
      <c r="E47" s="50" t="s">
        <v>27</v>
      </c>
      <c r="F47" s="50" t="s">
        <v>27</v>
      </c>
      <c r="G47" s="50" t="s">
        <v>30</v>
      </c>
      <c r="H47" s="50" t="s">
        <v>27</v>
      </c>
      <c r="I47" s="50" t="str">
        <f>VLOOKUP(Tabla55[[#This Row],[ID_CASO]],Tabla1[[ID_CASO]:[Automatizable]],17,FALSE)</f>
        <v>SI</v>
      </c>
      <c r="J47" s="51" t="s">
        <v>893</v>
      </c>
    </row>
    <row r="48" spans="1:10" ht="45" x14ac:dyDescent="0.25">
      <c r="A48" s="50" t="s">
        <v>257</v>
      </c>
      <c r="B48" s="50" t="s">
        <v>229</v>
      </c>
      <c r="C48" s="50" t="s">
        <v>258</v>
      </c>
      <c r="D48" s="50" t="s">
        <v>58</v>
      </c>
      <c r="E48" s="50" t="s">
        <v>27</v>
      </c>
      <c r="F48" s="50" t="s">
        <v>27</v>
      </c>
      <c r="G48" s="50" t="s">
        <v>30</v>
      </c>
      <c r="H48" s="50" t="s">
        <v>27</v>
      </c>
      <c r="I48" s="50" t="str">
        <f>VLOOKUP(Tabla55[[#This Row],[ID_CASO]],Tabla1[[ID_CASO]:[Automatizable]],17,FALSE)</f>
        <v>SI</v>
      </c>
      <c r="J48" s="51" t="s">
        <v>894</v>
      </c>
    </row>
    <row r="49" spans="1:10" ht="45" x14ac:dyDescent="0.25">
      <c r="A49" s="50" t="s">
        <v>264</v>
      </c>
      <c r="B49" s="50" t="s">
        <v>229</v>
      </c>
      <c r="C49" s="50" t="s">
        <v>265</v>
      </c>
      <c r="D49" s="50" t="s">
        <v>58</v>
      </c>
      <c r="E49" s="50" t="s">
        <v>27</v>
      </c>
      <c r="F49" s="50" t="s">
        <v>27</v>
      </c>
      <c r="G49" s="50" t="s">
        <v>30</v>
      </c>
      <c r="H49" s="50" t="s">
        <v>27</v>
      </c>
      <c r="I49" s="50" t="str">
        <f>VLOOKUP(Tabla55[[#This Row],[ID_CASO]],Tabla1[[ID_CASO]:[Automatizable]],17,FALSE)</f>
        <v>SI</v>
      </c>
      <c r="J49" s="51" t="s">
        <v>895</v>
      </c>
    </row>
    <row r="50" spans="1:10" ht="45" x14ac:dyDescent="0.25">
      <c r="A50" s="50" t="s">
        <v>271</v>
      </c>
      <c r="B50" s="50" t="s">
        <v>229</v>
      </c>
      <c r="C50" s="50" t="s">
        <v>272</v>
      </c>
      <c r="D50" s="50" t="s">
        <v>58</v>
      </c>
      <c r="E50" s="50" t="s">
        <v>27</v>
      </c>
      <c r="F50" s="50" t="s">
        <v>27</v>
      </c>
      <c r="G50" s="50" t="s">
        <v>30</v>
      </c>
      <c r="H50" s="50" t="s">
        <v>58</v>
      </c>
      <c r="I50" s="50" t="str">
        <f>VLOOKUP(Tabla55[[#This Row],[ID_CASO]],Tabla1[[ID_CASO]:[Automatizable]],17,FALSE)</f>
        <v>NO</v>
      </c>
      <c r="J50" s="51" t="s">
        <v>896</v>
      </c>
    </row>
    <row r="51" spans="1:10" ht="45" x14ac:dyDescent="0.25">
      <c r="A51" s="50" t="s">
        <v>278</v>
      </c>
      <c r="B51" s="50" t="s">
        <v>229</v>
      </c>
      <c r="C51" s="50" t="s">
        <v>279</v>
      </c>
      <c r="D51" s="50" t="s">
        <v>58</v>
      </c>
      <c r="E51" s="50" t="s">
        <v>27</v>
      </c>
      <c r="F51" s="50" t="s">
        <v>27</v>
      </c>
      <c r="G51" s="50" t="s">
        <v>30</v>
      </c>
      <c r="H51" s="50" t="s">
        <v>27</v>
      </c>
      <c r="I51" s="50" t="str">
        <f>VLOOKUP(Tabla55[[#This Row],[ID_CASO]],Tabla1[[ID_CASO]:[Automatizable]],17,FALSE)</f>
        <v>NO</v>
      </c>
      <c r="J51" s="51" t="s">
        <v>897</v>
      </c>
    </row>
    <row r="52" spans="1:10" ht="45" x14ac:dyDescent="0.25">
      <c r="A52" s="50" t="s">
        <v>285</v>
      </c>
      <c r="B52" s="50" t="s">
        <v>229</v>
      </c>
      <c r="C52" s="50" t="s">
        <v>286</v>
      </c>
      <c r="D52" s="50" t="s">
        <v>58</v>
      </c>
      <c r="E52" s="50" t="s">
        <v>58</v>
      </c>
      <c r="F52" s="50" t="s">
        <v>58</v>
      </c>
      <c r="G52" s="50" t="s">
        <v>749</v>
      </c>
      <c r="H52" s="50" t="s">
        <v>765</v>
      </c>
      <c r="I52" s="50" t="str">
        <f>VLOOKUP(Tabla55[[#This Row],[ID_CASO]],Tabla1[[ID_CASO]:[Automatizable]],17,FALSE)</f>
        <v>NO</v>
      </c>
      <c r="J52" s="51" t="s">
        <v>898</v>
      </c>
    </row>
    <row r="53" spans="1:10" ht="45" x14ac:dyDescent="0.25">
      <c r="A53" s="50" t="s">
        <v>292</v>
      </c>
      <c r="B53" s="50" t="s">
        <v>229</v>
      </c>
      <c r="C53" s="50" t="s">
        <v>899</v>
      </c>
      <c r="D53" s="50" t="s">
        <v>27</v>
      </c>
      <c r="E53" s="50" t="s">
        <v>27</v>
      </c>
      <c r="F53" s="50" t="s">
        <v>27</v>
      </c>
      <c r="G53" s="50" t="s">
        <v>30</v>
      </c>
      <c r="H53" s="50" t="s">
        <v>27</v>
      </c>
      <c r="I53" s="50" t="str">
        <f>VLOOKUP(Tabla55[[#This Row],[ID_CASO]],Tabla1[[ID_CASO]:[Automatizable]],17,FALSE)</f>
        <v>NO</v>
      </c>
      <c r="J53" s="51" t="s">
        <v>900</v>
      </c>
    </row>
    <row r="54" spans="1:10" ht="45" x14ac:dyDescent="0.25">
      <c r="A54" s="50" t="s">
        <v>299</v>
      </c>
      <c r="B54" s="50" t="s">
        <v>229</v>
      </c>
      <c r="C54" s="50" t="s">
        <v>300</v>
      </c>
      <c r="D54" s="50" t="s">
        <v>58</v>
      </c>
      <c r="E54" s="50" t="s">
        <v>27</v>
      </c>
      <c r="F54" s="50" t="s">
        <v>27</v>
      </c>
      <c r="G54" s="50" t="s">
        <v>30</v>
      </c>
      <c r="H54" s="50" t="s">
        <v>27</v>
      </c>
      <c r="I54" s="50" t="str">
        <f>VLOOKUP(Tabla55[[#This Row],[ID_CASO]],Tabla1[[ID_CASO]:[Automatizable]],17,FALSE)</f>
        <v>Si</v>
      </c>
      <c r="J54" s="51" t="s">
        <v>901</v>
      </c>
    </row>
    <row r="55" spans="1:10" ht="45" x14ac:dyDescent="0.25">
      <c r="A55" s="50" t="s">
        <v>306</v>
      </c>
      <c r="B55" s="50" t="s">
        <v>229</v>
      </c>
      <c r="C55" s="50" t="s">
        <v>307</v>
      </c>
      <c r="D55" s="50" t="s">
        <v>58</v>
      </c>
      <c r="E55" s="50" t="s">
        <v>27</v>
      </c>
      <c r="F55" s="50" t="s">
        <v>27</v>
      </c>
      <c r="G55" s="50" t="s">
        <v>30</v>
      </c>
      <c r="H55" s="50" t="s">
        <v>27</v>
      </c>
      <c r="I55" s="50" t="str">
        <f>VLOOKUP(Tabla55[[#This Row],[ID_CASO]],Tabla1[[ID_CASO]:[Automatizable]],17,FALSE)</f>
        <v>SI</v>
      </c>
      <c r="J55" s="51" t="s">
        <v>902</v>
      </c>
    </row>
    <row r="56" spans="1:10" ht="45" x14ac:dyDescent="0.25">
      <c r="A56" s="50" t="s">
        <v>313</v>
      </c>
      <c r="B56" s="50" t="s">
        <v>229</v>
      </c>
      <c r="C56" s="50" t="s">
        <v>314</v>
      </c>
      <c r="D56" s="50" t="s">
        <v>27</v>
      </c>
      <c r="E56" s="50" t="s">
        <v>27</v>
      </c>
      <c r="F56" s="50" t="s">
        <v>27</v>
      </c>
      <c r="G56" s="50" t="s">
        <v>30</v>
      </c>
      <c r="H56" s="50" t="s">
        <v>27</v>
      </c>
      <c r="I56" s="50" t="str">
        <f>VLOOKUP(Tabla55[[#This Row],[ID_CASO]],Tabla1[[ID_CASO]:[Automatizable]],17,FALSE)</f>
        <v>SI</v>
      </c>
      <c r="J56" s="51" t="s">
        <v>903</v>
      </c>
    </row>
    <row r="57" spans="1:10" ht="60" x14ac:dyDescent="0.25">
      <c r="A57" s="50" t="s">
        <v>320</v>
      </c>
      <c r="B57" s="50" t="s">
        <v>229</v>
      </c>
      <c r="C57" s="50" t="s">
        <v>321</v>
      </c>
      <c r="D57" s="50" t="s">
        <v>58</v>
      </c>
      <c r="E57" s="50" t="s">
        <v>27</v>
      </c>
      <c r="F57" s="50" t="s">
        <v>27</v>
      </c>
      <c r="G57" s="50" t="s">
        <v>30</v>
      </c>
      <c r="H57" s="50" t="s">
        <v>27</v>
      </c>
      <c r="I57" s="50" t="str">
        <f>VLOOKUP(Tabla55[[#This Row],[ID_CASO]],Tabla1[[ID_CASO]:[Automatizable]],17,FALSE)</f>
        <v>SI</v>
      </c>
      <c r="J57" s="51" t="s">
        <v>904</v>
      </c>
    </row>
    <row r="58" spans="1:10" ht="45" x14ac:dyDescent="0.25">
      <c r="A58" s="50" t="s">
        <v>327</v>
      </c>
      <c r="B58" s="50" t="s">
        <v>229</v>
      </c>
      <c r="C58" s="50" t="s">
        <v>328</v>
      </c>
      <c r="D58" s="50" t="s">
        <v>27</v>
      </c>
      <c r="E58" s="50" t="s">
        <v>180</v>
      </c>
      <c r="F58" s="50" t="s">
        <v>27</v>
      </c>
      <c r="G58" s="50" t="s">
        <v>30</v>
      </c>
      <c r="H58" s="50" t="s">
        <v>27</v>
      </c>
      <c r="I58" s="50" t="str">
        <f>VLOOKUP(Tabla55[[#This Row],[ID_CASO]],Tabla1[[ID_CASO]:[Automatizable]],17,FALSE)</f>
        <v>SI</v>
      </c>
      <c r="J58" s="51" t="s">
        <v>905</v>
      </c>
    </row>
    <row r="59" spans="1:10" ht="45" x14ac:dyDescent="0.25">
      <c r="A59" s="50" t="s">
        <v>335</v>
      </c>
      <c r="B59" s="50" t="s">
        <v>336</v>
      </c>
      <c r="C59" s="50" t="s">
        <v>337</v>
      </c>
      <c r="D59" s="50" t="s">
        <v>27</v>
      </c>
      <c r="E59" s="50" t="s">
        <v>58</v>
      </c>
      <c r="F59" s="50" t="s">
        <v>27</v>
      </c>
      <c r="G59" s="50" t="s">
        <v>30</v>
      </c>
      <c r="H59" s="50" t="s">
        <v>27</v>
      </c>
      <c r="I59" s="50" t="str">
        <f>VLOOKUP(Tabla55[[#This Row],[ID_CASO]],Tabla1[[ID_CASO]:[Automatizable]],17,FALSE)</f>
        <v>SI</v>
      </c>
      <c r="J59" s="51" t="s">
        <v>906</v>
      </c>
    </row>
    <row r="60" spans="1:10" ht="45" x14ac:dyDescent="0.25">
      <c r="A60" s="50" t="s">
        <v>343</v>
      </c>
      <c r="B60" s="50" t="s">
        <v>344</v>
      </c>
      <c r="C60" s="50" t="s">
        <v>345</v>
      </c>
      <c r="D60" s="50" t="s">
        <v>27</v>
      </c>
      <c r="E60" s="50" t="s">
        <v>58</v>
      </c>
      <c r="F60" s="50" t="s">
        <v>27</v>
      </c>
      <c r="G60" s="50" t="s">
        <v>30</v>
      </c>
      <c r="H60" s="50" t="s">
        <v>27</v>
      </c>
      <c r="I60" s="50" t="str">
        <f>VLOOKUP(Tabla55[[#This Row],[ID_CASO]],Tabla1[[ID_CASO]:[Automatizable]],17,FALSE)</f>
        <v>NO</v>
      </c>
      <c r="J60" s="51" t="s">
        <v>906</v>
      </c>
    </row>
    <row r="61" spans="1:10" ht="45" x14ac:dyDescent="0.25">
      <c r="A61" s="50" t="s">
        <v>351</v>
      </c>
      <c r="B61" s="50" t="s">
        <v>344</v>
      </c>
      <c r="C61" s="50" t="s">
        <v>352</v>
      </c>
      <c r="D61" s="50" t="s">
        <v>58</v>
      </c>
      <c r="E61" s="50" t="s">
        <v>58</v>
      </c>
      <c r="F61" s="50" t="s">
        <v>27</v>
      </c>
      <c r="G61" s="50" t="s">
        <v>30</v>
      </c>
      <c r="H61" s="50" t="s">
        <v>27</v>
      </c>
      <c r="I61" s="50" t="str">
        <f>VLOOKUP(Tabla55[[#This Row],[ID_CASO]],Tabla1[[ID_CASO]:[Automatizable]],17,FALSE)</f>
        <v>NO</v>
      </c>
      <c r="J61" s="51" t="s">
        <v>907</v>
      </c>
    </row>
    <row r="62" spans="1:10" ht="45" x14ac:dyDescent="0.25">
      <c r="A62" s="50" t="s">
        <v>358</v>
      </c>
      <c r="B62" s="50" t="s">
        <v>344</v>
      </c>
      <c r="C62" s="50" t="s">
        <v>359</v>
      </c>
      <c r="D62" s="50" t="s">
        <v>58</v>
      </c>
      <c r="E62" s="50" t="s">
        <v>27</v>
      </c>
      <c r="F62" s="50" t="s">
        <v>27</v>
      </c>
      <c r="G62" s="50" t="s">
        <v>30</v>
      </c>
      <c r="H62" s="50" t="s">
        <v>27</v>
      </c>
      <c r="I62" s="50" t="str">
        <f>VLOOKUP(Tabla55[[#This Row],[ID_CASO]],Tabla1[[ID_CASO]:[Automatizable]],17,FALSE)</f>
        <v>NO</v>
      </c>
      <c r="J62" s="51" t="s">
        <v>908</v>
      </c>
    </row>
    <row r="63" spans="1:10" ht="45" x14ac:dyDescent="0.25">
      <c r="A63" s="50" t="s">
        <v>364</v>
      </c>
      <c r="B63" s="50" t="s">
        <v>344</v>
      </c>
      <c r="C63" s="50" t="s">
        <v>909</v>
      </c>
      <c r="D63" s="50" t="s">
        <v>58</v>
      </c>
      <c r="E63" s="50" t="s">
        <v>58</v>
      </c>
      <c r="F63" s="50" t="s">
        <v>58</v>
      </c>
      <c r="G63" s="50" t="s">
        <v>749</v>
      </c>
      <c r="H63" s="50" t="s">
        <v>765</v>
      </c>
      <c r="I63" s="50" t="str">
        <f>VLOOKUP(Tabla55[[#This Row],[ID_CASO]],Tabla1[[ID_CASO]:[Automatizable]],17,FALSE)</f>
        <v>NO</v>
      </c>
      <c r="J63" s="51" t="s">
        <v>910</v>
      </c>
    </row>
    <row r="64" spans="1:10" ht="60" x14ac:dyDescent="0.25">
      <c r="A64" s="50" t="s">
        <v>371</v>
      </c>
      <c r="B64" s="50" t="s">
        <v>372</v>
      </c>
      <c r="C64" s="50" t="s">
        <v>911</v>
      </c>
      <c r="D64" s="50" t="s">
        <v>58</v>
      </c>
      <c r="E64" s="50" t="s">
        <v>27</v>
      </c>
      <c r="F64" s="50" t="s">
        <v>27</v>
      </c>
      <c r="G64" s="50" t="s">
        <v>30</v>
      </c>
      <c r="H64" s="50" t="s">
        <v>27</v>
      </c>
      <c r="I64" s="50" t="str">
        <f>VLOOKUP(Tabla55[[#This Row],[ID_CASO]],Tabla1[[ID_CASO]:[Automatizable]],17,FALSE)</f>
        <v>Si</v>
      </c>
      <c r="J64" s="51" t="s">
        <v>912</v>
      </c>
    </row>
    <row r="65" spans="1:10" ht="60" x14ac:dyDescent="0.25">
      <c r="A65" s="50" t="s">
        <v>379</v>
      </c>
      <c r="B65" s="50" t="s">
        <v>372</v>
      </c>
      <c r="C65" s="50" t="s">
        <v>380</v>
      </c>
      <c r="D65" s="50" t="s">
        <v>27</v>
      </c>
      <c r="E65" s="50" t="s">
        <v>58</v>
      </c>
      <c r="F65" s="50" t="s">
        <v>27</v>
      </c>
      <c r="G65" s="50" t="s">
        <v>30</v>
      </c>
      <c r="H65" s="50" t="s">
        <v>27</v>
      </c>
      <c r="I65" s="50" t="str">
        <f>VLOOKUP(Tabla55[[#This Row],[ID_CASO]],Tabla1[[ID_CASO]:[Automatizable]],17,FALSE)</f>
        <v>Si</v>
      </c>
      <c r="J65" s="51" t="s">
        <v>873</v>
      </c>
    </row>
    <row r="66" spans="1:10" ht="75" x14ac:dyDescent="0.25">
      <c r="A66" s="50" t="s">
        <v>386</v>
      </c>
      <c r="B66" s="50" t="s">
        <v>372</v>
      </c>
      <c r="C66" s="50" t="s">
        <v>387</v>
      </c>
      <c r="D66" s="50" t="s">
        <v>58</v>
      </c>
      <c r="E66" s="50" t="s">
        <v>27</v>
      </c>
      <c r="F66" s="50" t="s">
        <v>27</v>
      </c>
      <c r="G66" s="50" t="s">
        <v>30</v>
      </c>
      <c r="H66" s="50" t="s">
        <v>27</v>
      </c>
      <c r="I66" s="50" t="str">
        <f>VLOOKUP(Tabla55[[#This Row],[ID_CASO]],Tabla1[[ID_CASO]:[Automatizable]],17,FALSE)</f>
        <v>Si</v>
      </c>
      <c r="J66" s="51" t="s">
        <v>913</v>
      </c>
    </row>
    <row r="67" spans="1:10" ht="75" x14ac:dyDescent="0.25">
      <c r="A67" s="50" t="s">
        <v>393</v>
      </c>
      <c r="B67" s="50" t="s">
        <v>372</v>
      </c>
      <c r="C67" s="50" t="s">
        <v>394</v>
      </c>
      <c r="D67" s="50" t="s">
        <v>765</v>
      </c>
      <c r="E67" s="50" t="s">
        <v>27</v>
      </c>
      <c r="F67" s="50" t="s">
        <v>27</v>
      </c>
      <c r="G67" s="50" t="s">
        <v>30</v>
      </c>
      <c r="H67" s="50" t="s">
        <v>27</v>
      </c>
      <c r="I67" s="50" t="str">
        <f>VLOOKUP(Tabla55[[#This Row],[ID_CASO]],Tabla1[[ID_CASO]:[Automatizable]],17,FALSE)</f>
        <v>Si</v>
      </c>
      <c r="J67" s="51" t="s">
        <v>914</v>
      </c>
    </row>
    <row r="68" spans="1:10" ht="90" x14ac:dyDescent="0.25">
      <c r="A68" s="50" t="s">
        <v>400</v>
      </c>
      <c r="B68" s="50" t="s">
        <v>372</v>
      </c>
      <c r="C68" s="50" t="s">
        <v>401</v>
      </c>
      <c r="D68" s="50" t="s">
        <v>58</v>
      </c>
      <c r="E68" s="50" t="s">
        <v>27</v>
      </c>
      <c r="F68" s="50" t="s">
        <v>27</v>
      </c>
      <c r="G68" s="50" t="s">
        <v>30</v>
      </c>
      <c r="H68" s="50" t="s">
        <v>27</v>
      </c>
      <c r="I68" s="50" t="str">
        <f>VLOOKUP(Tabla55[[#This Row],[ID_CASO]],Tabla1[[ID_CASO]:[Automatizable]],17,FALSE)</f>
        <v>Si</v>
      </c>
      <c r="J68" s="51" t="s">
        <v>915</v>
      </c>
    </row>
    <row r="69" spans="1:10" ht="45" x14ac:dyDescent="0.25">
      <c r="A69" s="50" t="s">
        <v>407</v>
      </c>
      <c r="B69" s="50" t="s">
        <v>372</v>
      </c>
      <c r="C69" s="50" t="s">
        <v>408</v>
      </c>
      <c r="D69" s="50" t="s">
        <v>58</v>
      </c>
      <c r="E69" s="50" t="s">
        <v>27</v>
      </c>
      <c r="F69" s="50" t="s">
        <v>27</v>
      </c>
      <c r="G69" s="50" t="s">
        <v>30</v>
      </c>
      <c r="H69" s="50" t="s">
        <v>27</v>
      </c>
      <c r="I69" s="50" t="str">
        <f>VLOOKUP(Tabla55[[#This Row],[ID_CASO]],Tabla1[[ID_CASO]:[Automatizable]],17,FALSE)</f>
        <v>Si</v>
      </c>
      <c r="J69" s="51" t="s">
        <v>916</v>
      </c>
    </row>
    <row r="70" spans="1:10" ht="60" x14ac:dyDescent="0.25">
      <c r="A70" s="50" t="s">
        <v>414</v>
      </c>
      <c r="B70" s="50" t="s">
        <v>415</v>
      </c>
      <c r="C70" s="50" t="s">
        <v>416</v>
      </c>
      <c r="D70" s="50" t="s">
        <v>27</v>
      </c>
      <c r="E70" s="50" t="s">
        <v>58</v>
      </c>
      <c r="F70" s="50" t="s">
        <v>27</v>
      </c>
      <c r="G70" s="50" t="s">
        <v>30</v>
      </c>
      <c r="H70" s="50" t="s">
        <v>27</v>
      </c>
      <c r="I70" s="50" t="str">
        <f>VLOOKUP(Tabla55[[#This Row],[ID_CASO]],Tabla1[[ID_CASO]:[Automatizable]],17,FALSE)</f>
        <v>Si</v>
      </c>
      <c r="J70" s="51" t="s">
        <v>873</v>
      </c>
    </row>
    <row r="71" spans="1:10" ht="75" x14ac:dyDescent="0.25">
      <c r="A71" s="50" t="s">
        <v>422</v>
      </c>
      <c r="B71" s="50" t="s">
        <v>415</v>
      </c>
      <c r="C71" s="50" t="s">
        <v>423</v>
      </c>
      <c r="D71" s="50" t="s">
        <v>58</v>
      </c>
      <c r="E71" s="50" t="s">
        <v>58</v>
      </c>
      <c r="F71" s="50" t="s">
        <v>27</v>
      </c>
      <c r="G71" s="50" t="s">
        <v>30</v>
      </c>
      <c r="H71" s="50" t="s">
        <v>27</v>
      </c>
      <c r="I71" s="50" t="str">
        <f>VLOOKUP(Tabla55[[#This Row],[ID_CASO]],Tabla1[[ID_CASO]:[Automatizable]],17,FALSE)</f>
        <v>Si</v>
      </c>
      <c r="J71" s="51" t="s">
        <v>917</v>
      </c>
    </row>
    <row r="72" spans="1:10" ht="75" x14ac:dyDescent="0.25">
      <c r="A72" s="55" t="s">
        <v>428</v>
      </c>
      <c r="B72" s="55" t="s">
        <v>415</v>
      </c>
      <c r="C72" s="55" t="s">
        <v>429</v>
      </c>
      <c r="D72" s="55" t="s">
        <v>58</v>
      </c>
      <c r="E72" s="55" t="s">
        <v>58</v>
      </c>
      <c r="F72" s="55" t="s">
        <v>27</v>
      </c>
      <c r="G72" s="55" t="s">
        <v>30</v>
      </c>
      <c r="H72" s="55" t="s">
        <v>27</v>
      </c>
      <c r="I72" s="50" t="str">
        <f>VLOOKUP(Tabla55[[#This Row],[ID_CASO]],Tabla1[[ID_CASO]:[Automatizable]],17,FALSE)</f>
        <v>Si</v>
      </c>
      <c r="J72" s="51" t="s">
        <v>917</v>
      </c>
    </row>
    <row r="73" spans="1:10" ht="75" x14ac:dyDescent="0.25">
      <c r="A73" s="50" t="s">
        <v>435</v>
      </c>
      <c r="B73" s="50" t="s">
        <v>415</v>
      </c>
      <c r="C73" s="50" t="s">
        <v>436</v>
      </c>
      <c r="D73" s="50" t="s">
        <v>765</v>
      </c>
      <c r="E73" s="50" t="s">
        <v>27</v>
      </c>
      <c r="F73" s="50" t="s">
        <v>27</v>
      </c>
      <c r="G73" s="50" t="s">
        <v>30</v>
      </c>
      <c r="H73" s="50" t="s">
        <v>27</v>
      </c>
      <c r="I73" s="50" t="str">
        <f>VLOOKUP(Tabla55[[#This Row],[ID_CASO]],Tabla1[[ID_CASO]:[Automatizable]],17,FALSE)</f>
        <v>Si</v>
      </c>
      <c r="J73" s="51" t="s">
        <v>914</v>
      </c>
    </row>
    <row r="74" spans="1:10" ht="90" x14ac:dyDescent="0.25">
      <c r="A74" s="55" t="s">
        <v>442</v>
      </c>
      <c r="B74" s="55" t="s">
        <v>415</v>
      </c>
      <c r="C74" s="55" t="s">
        <v>443</v>
      </c>
      <c r="D74" s="55" t="s">
        <v>27</v>
      </c>
      <c r="E74" s="55" t="s">
        <v>27</v>
      </c>
      <c r="F74" s="55" t="s">
        <v>27</v>
      </c>
      <c r="G74" s="55" t="s">
        <v>30</v>
      </c>
      <c r="H74" s="55" t="s">
        <v>27</v>
      </c>
      <c r="I74" s="50" t="str">
        <f>VLOOKUP(Tabla55[[#This Row],[ID_CASO]],Tabla1[[ID_CASO]:[Automatizable]],17,FALSE)</f>
        <v>Si</v>
      </c>
      <c r="J74" s="51" t="s">
        <v>915</v>
      </c>
    </row>
    <row r="75" spans="1:10" ht="60.75" x14ac:dyDescent="0.25">
      <c r="A75" s="55" t="s">
        <v>448</v>
      </c>
      <c r="B75" s="55" t="s">
        <v>449</v>
      </c>
      <c r="C75" s="55" t="s">
        <v>450</v>
      </c>
      <c r="D75" s="55" t="s">
        <v>58</v>
      </c>
      <c r="E75" s="55" t="s">
        <v>58</v>
      </c>
      <c r="F75" s="55" t="s">
        <v>27</v>
      </c>
      <c r="G75" s="55" t="s">
        <v>30</v>
      </c>
      <c r="H75" s="55" t="s">
        <v>27</v>
      </c>
      <c r="I75" s="50" t="str">
        <f>VLOOKUP(Tabla55[[#This Row],[ID_CASO]],Tabla1[[ID_CASO]:[Automatizable]],17,FALSE)</f>
        <v>NO</v>
      </c>
      <c r="J75" s="52" t="s">
        <v>918</v>
      </c>
    </row>
    <row r="76" spans="1:10" ht="45.75" x14ac:dyDescent="0.25">
      <c r="A76" s="55" t="s">
        <v>455</v>
      </c>
      <c r="B76" s="55" t="s">
        <v>449</v>
      </c>
      <c r="C76" s="55" t="s">
        <v>456</v>
      </c>
      <c r="D76" s="55" t="s">
        <v>58</v>
      </c>
      <c r="E76" s="55" t="s">
        <v>27</v>
      </c>
      <c r="F76" s="55" t="s">
        <v>27</v>
      </c>
      <c r="G76" s="55" t="s">
        <v>30</v>
      </c>
      <c r="H76" s="55" t="s">
        <v>58</v>
      </c>
      <c r="I76" s="50" t="str">
        <f>VLOOKUP(Tabla55[[#This Row],[ID_CASO]],Tabla1[[ID_CASO]:[Automatizable]],17,FALSE)</f>
        <v>NO</v>
      </c>
      <c r="J76" s="52" t="s">
        <v>919</v>
      </c>
    </row>
    <row r="77" spans="1:10" ht="90.75" x14ac:dyDescent="0.25">
      <c r="A77" s="55" t="s">
        <v>462</v>
      </c>
      <c r="B77" s="55" t="s">
        <v>463</v>
      </c>
      <c r="C77" s="55" t="s">
        <v>464</v>
      </c>
      <c r="D77" s="55" t="s">
        <v>58</v>
      </c>
      <c r="E77" s="55" t="s">
        <v>765</v>
      </c>
      <c r="F77" s="55" t="s">
        <v>27</v>
      </c>
      <c r="G77" s="55" t="s">
        <v>30</v>
      </c>
      <c r="H77" s="55" t="s">
        <v>27</v>
      </c>
      <c r="I77" s="50" t="str">
        <f>VLOOKUP(Tabla55[[#This Row],[ID_CASO]],Tabla1[[ID_CASO]:[Automatizable]],17,FALSE)</f>
        <v>SI</v>
      </c>
      <c r="J77" s="52" t="s">
        <v>920</v>
      </c>
    </row>
    <row r="78" spans="1:10" ht="60" x14ac:dyDescent="0.25">
      <c r="A78" s="50" t="s">
        <v>469</v>
      </c>
      <c r="B78" s="50" t="s">
        <v>463</v>
      </c>
      <c r="C78" s="50" t="s">
        <v>470</v>
      </c>
      <c r="D78" s="50" t="s">
        <v>765</v>
      </c>
      <c r="E78" s="50" t="s">
        <v>58</v>
      </c>
      <c r="F78" s="50" t="s">
        <v>27</v>
      </c>
      <c r="G78" s="50" t="s">
        <v>30</v>
      </c>
      <c r="H78" s="50" t="s">
        <v>27</v>
      </c>
      <c r="I78" s="50" t="str">
        <f>VLOOKUP(Tabla55[[#This Row],[ID_CASO]],Tabla1[[ID_CASO]:[Automatizable]],17,FALSE)</f>
        <v>SI</v>
      </c>
      <c r="J78" s="51" t="s">
        <v>921</v>
      </c>
    </row>
    <row r="79" spans="1:10" ht="45" x14ac:dyDescent="0.25">
      <c r="A79" s="50" t="s">
        <v>476</v>
      </c>
      <c r="B79" s="50" t="s">
        <v>477</v>
      </c>
      <c r="C79" s="50" t="s">
        <v>478</v>
      </c>
      <c r="D79" s="50" t="s">
        <v>27</v>
      </c>
      <c r="E79" s="50" t="s">
        <v>27</v>
      </c>
      <c r="F79" s="50" t="s">
        <v>27</v>
      </c>
      <c r="G79" s="50" t="s">
        <v>30</v>
      </c>
      <c r="H79" s="50" t="s">
        <v>27</v>
      </c>
      <c r="I79" s="50" t="str">
        <f>VLOOKUP(Tabla55[[#This Row],[ID_CASO]],Tabla1[[ID_CASO]:[Automatizable]],17,FALSE)</f>
        <v>SI</v>
      </c>
      <c r="J79" s="51" t="s">
        <v>922</v>
      </c>
    </row>
    <row r="80" spans="1:10" ht="45" x14ac:dyDescent="0.25">
      <c r="A80" s="50" t="s">
        <v>484</v>
      </c>
      <c r="B80" s="50" t="s">
        <v>477</v>
      </c>
      <c r="C80" s="50" t="s">
        <v>485</v>
      </c>
      <c r="D80" s="50" t="s">
        <v>58</v>
      </c>
      <c r="E80" s="50" t="s">
        <v>58</v>
      </c>
      <c r="F80" s="50" t="s">
        <v>27</v>
      </c>
      <c r="G80" s="50" t="s">
        <v>30</v>
      </c>
      <c r="H80" s="50" t="s">
        <v>27</v>
      </c>
      <c r="I80" s="50" t="str">
        <f>VLOOKUP(Tabla55[[#This Row],[ID_CASO]],Tabla1[[ID_CASO]:[Automatizable]],17,FALSE)</f>
        <v>SI</v>
      </c>
      <c r="J80" s="51" t="s">
        <v>923</v>
      </c>
    </row>
    <row r="81" spans="1:10" ht="45" x14ac:dyDescent="0.25">
      <c r="A81" s="50" t="s">
        <v>490</v>
      </c>
      <c r="B81" s="50" t="s">
        <v>477</v>
      </c>
      <c r="C81" s="50" t="s">
        <v>491</v>
      </c>
      <c r="D81" s="50" t="s">
        <v>58</v>
      </c>
      <c r="E81" s="50" t="s">
        <v>58</v>
      </c>
      <c r="F81" s="50" t="s">
        <v>27</v>
      </c>
      <c r="G81" s="50" t="s">
        <v>30</v>
      </c>
      <c r="H81" s="50" t="s">
        <v>27</v>
      </c>
      <c r="I81" s="50" t="str">
        <f>VLOOKUP(Tabla55[[#This Row],[ID_CASO]],Tabla1[[ID_CASO]:[Automatizable]],17,FALSE)</f>
        <v>SI</v>
      </c>
      <c r="J81" s="51" t="s">
        <v>924</v>
      </c>
    </row>
    <row r="82" spans="1:10" ht="107.25" customHeight="1" x14ac:dyDescent="0.25">
      <c r="A82" s="55" t="s">
        <v>497</v>
      </c>
      <c r="B82" s="50" t="s">
        <v>498</v>
      </c>
      <c r="C82" s="50" t="s">
        <v>499</v>
      </c>
      <c r="D82" s="50" t="s">
        <v>27</v>
      </c>
      <c r="E82" s="50" t="s">
        <v>27</v>
      </c>
      <c r="F82" s="50" t="s">
        <v>27</v>
      </c>
      <c r="G82" s="50" t="s">
        <v>30</v>
      </c>
      <c r="H82" s="50" t="s">
        <v>27</v>
      </c>
      <c r="I82" s="50" t="str">
        <f>VLOOKUP(Tabla55[[#This Row],[ID_CASO]],Tabla1[[ID_CASO]:[Automatizable]],17,FALSE)</f>
        <v>Si</v>
      </c>
      <c r="J82" s="52" t="s">
        <v>925</v>
      </c>
    </row>
    <row r="83" spans="1:10" ht="103.5" customHeight="1" x14ac:dyDescent="0.25">
      <c r="A83" s="55" t="s">
        <v>505</v>
      </c>
      <c r="B83" s="50" t="s">
        <v>498</v>
      </c>
      <c r="C83" s="50" t="s">
        <v>506</v>
      </c>
      <c r="D83" s="50" t="s">
        <v>27</v>
      </c>
      <c r="E83" s="50" t="s">
        <v>27</v>
      </c>
      <c r="F83" s="50" t="s">
        <v>27</v>
      </c>
      <c r="G83" s="50" t="s">
        <v>30</v>
      </c>
      <c r="H83" s="50" t="s">
        <v>27</v>
      </c>
      <c r="I83" s="50" t="str">
        <f>VLOOKUP(Tabla55[[#This Row],[ID_CASO]],Tabla1[[ID_CASO]:[Automatizable]],17,FALSE)</f>
        <v>SI</v>
      </c>
      <c r="J83" s="52" t="s">
        <v>926</v>
      </c>
    </row>
    <row r="84" spans="1:10" ht="45" x14ac:dyDescent="0.25">
      <c r="A84" s="50" t="s">
        <v>512</v>
      </c>
      <c r="B84" s="50" t="s">
        <v>513</v>
      </c>
      <c r="C84" s="50" t="s">
        <v>514</v>
      </c>
      <c r="D84" s="50" t="s">
        <v>27</v>
      </c>
      <c r="E84" s="50" t="s">
        <v>58</v>
      </c>
      <c r="F84" s="50" t="s">
        <v>27</v>
      </c>
      <c r="G84" s="50" t="s">
        <v>30</v>
      </c>
      <c r="H84" s="50" t="s">
        <v>27</v>
      </c>
      <c r="I84" s="50" t="str">
        <f>VLOOKUP(Tabla55[[#This Row],[ID_CASO]],Tabla1[[ID_CASO]:[Automatizable]],17,FALSE)</f>
        <v>NO</v>
      </c>
      <c r="J84" s="51" t="s">
        <v>927</v>
      </c>
    </row>
    <row r="85" spans="1:10" ht="60" x14ac:dyDescent="0.25">
      <c r="A85" s="50" t="s">
        <v>519</v>
      </c>
      <c r="B85" s="50" t="s">
        <v>513</v>
      </c>
      <c r="C85" s="50" t="s">
        <v>520</v>
      </c>
      <c r="D85" s="50" t="s">
        <v>27</v>
      </c>
      <c r="E85" s="50" t="s">
        <v>58</v>
      </c>
      <c r="F85" s="50" t="s">
        <v>27</v>
      </c>
      <c r="G85" s="50" t="s">
        <v>30</v>
      </c>
      <c r="H85" s="50" t="s">
        <v>27</v>
      </c>
      <c r="I85" s="50" t="str">
        <f>VLOOKUP(Tabla55[[#This Row],[ID_CASO]],Tabla1[[ID_CASO]:[Automatizable]],17,FALSE)</f>
        <v>Si</v>
      </c>
      <c r="J85" s="51" t="s">
        <v>928</v>
      </c>
    </row>
    <row r="86" spans="1:10" ht="60" x14ac:dyDescent="0.25">
      <c r="A86" s="55" t="s">
        <v>526</v>
      </c>
      <c r="B86" s="55" t="s">
        <v>513</v>
      </c>
      <c r="C86" s="55" t="s">
        <v>527</v>
      </c>
      <c r="D86" s="55" t="s">
        <v>58</v>
      </c>
      <c r="E86" s="55" t="s">
        <v>27</v>
      </c>
      <c r="F86" s="55" t="s">
        <v>27</v>
      </c>
      <c r="G86" s="55" t="s">
        <v>30</v>
      </c>
      <c r="H86" s="55" t="s">
        <v>27</v>
      </c>
      <c r="I86" s="50" t="str">
        <f>VLOOKUP(Tabla55[[#This Row],[ID_CASO]],Tabla1[[ID_CASO]:[Automatizable]],17,FALSE)</f>
        <v>SI</v>
      </c>
      <c r="J86" s="51" t="s">
        <v>929</v>
      </c>
    </row>
    <row r="87" spans="1:10" ht="45" x14ac:dyDescent="0.25">
      <c r="A87" s="50" t="s">
        <v>532</v>
      </c>
      <c r="B87" s="50" t="s">
        <v>533</v>
      </c>
      <c r="C87" s="50" t="s">
        <v>534</v>
      </c>
      <c r="D87" s="50" t="s">
        <v>27</v>
      </c>
      <c r="E87" s="50" t="s">
        <v>58</v>
      </c>
      <c r="F87" s="50" t="s">
        <v>27</v>
      </c>
      <c r="G87" s="50" t="s">
        <v>30</v>
      </c>
      <c r="H87" s="50" t="s">
        <v>27</v>
      </c>
      <c r="I87" s="50" t="str">
        <f>VLOOKUP(Tabla55[[#This Row],[ID_CASO]],Tabla1[[ID_CASO]:[Automatizable]],17,FALSE)</f>
        <v>SI</v>
      </c>
      <c r="J87" s="51" t="s">
        <v>930</v>
      </c>
    </row>
    <row r="88" spans="1:10" ht="45" x14ac:dyDescent="0.25">
      <c r="A88" s="50" t="s">
        <v>539</v>
      </c>
      <c r="B88" s="50" t="s">
        <v>533</v>
      </c>
      <c r="C88" s="50" t="s">
        <v>540</v>
      </c>
      <c r="D88" s="50" t="s">
        <v>58</v>
      </c>
      <c r="E88" s="50" t="s">
        <v>27</v>
      </c>
      <c r="F88" s="50" t="s">
        <v>27</v>
      </c>
      <c r="G88" s="50" t="s">
        <v>30</v>
      </c>
      <c r="H88" s="50" t="s">
        <v>27</v>
      </c>
      <c r="I88" s="50" t="str">
        <f>VLOOKUP(Tabla55[[#This Row],[ID_CASO]],Tabla1[[ID_CASO]:[Automatizable]],17,FALSE)</f>
        <v>SI</v>
      </c>
      <c r="J88" s="51" t="s">
        <v>931</v>
      </c>
    </row>
    <row r="89" spans="1:10" ht="45" x14ac:dyDescent="0.25">
      <c r="A89" s="50" t="s">
        <v>545</v>
      </c>
      <c r="B89" s="50" t="s">
        <v>533</v>
      </c>
      <c r="C89" s="50" t="s">
        <v>546</v>
      </c>
      <c r="D89" s="50" t="s">
        <v>58</v>
      </c>
      <c r="E89" s="50" t="s">
        <v>58</v>
      </c>
      <c r="F89" s="50" t="s">
        <v>27</v>
      </c>
      <c r="G89" s="50" t="s">
        <v>30</v>
      </c>
      <c r="H89" s="50" t="s">
        <v>27</v>
      </c>
      <c r="I89" s="50" t="str">
        <f>VLOOKUP(Tabla55[[#This Row],[ID_CASO]],Tabla1[[ID_CASO]:[Automatizable]],17,FALSE)</f>
        <v>SI</v>
      </c>
      <c r="J89" s="51" t="s">
        <v>932</v>
      </c>
    </row>
    <row r="90" spans="1:10" ht="45" x14ac:dyDescent="0.25">
      <c r="A90" s="50" t="s">
        <v>551</v>
      </c>
      <c r="B90" s="50" t="s">
        <v>533</v>
      </c>
      <c r="C90" s="50" t="s">
        <v>552</v>
      </c>
      <c r="D90" s="50" t="s">
        <v>58</v>
      </c>
      <c r="E90" s="50" t="s">
        <v>58</v>
      </c>
      <c r="F90" s="50" t="s">
        <v>27</v>
      </c>
      <c r="G90" s="50" t="s">
        <v>30</v>
      </c>
      <c r="H90" s="50" t="s">
        <v>27</v>
      </c>
      <c r="I90" s="50" t="str">
        <f>VLOOKUP(Tabla55[[#This Row],[ID_CASO]],Tabla1[[ID_CASO]:[Automatizable]],17,FALSE)</f>
        <v>SI</v>
      </c>
      <c r="J90" s="51" t="s">
        <v>933</v>
      </c>
    </row>
    <row r="91" spans="1:10" ht="45" x14ac:dyDescent="0.25">
      <c r="A91" s="50" t="s">
        <v>557</v>
      </c>
      <c r="B91" s="50" t="s">
        <v>533</v>
      </c>
      <c r="C91" s="50" t="s">
        <v>558</v>
      </c>
      <c r="D91" s="50" t="s">
        <v>58</v>
      </c>
      <c r="E91" s="50" t="s">
        <v>27</v>
      </c>
      <c r="F91" s="50" t="s">
        <v>27</v>
      </c>
      <c r="G91" s="50" t="s">
        <v>30</v>
      </c>
      <c r="H91" s="50" t="s">
        <v>58</v>
      </c>
      <c r="I91" s="50" t="str">
        <f>VLOOKUP(Tabla55[[#This Row],[ID_CASO]],Tabla1[[ID_CASO]:[Automatizable]],17,FALSE)</f>
        <v>SI</v>
      </c>
      <c r="J91" s="51" t="s">
        <v>934</v>
      </c>
    </row>
    <row r="92" spans="1:10" ht="75" x14ac:dyDescent="0.25">
      <c r="A92" s="50" t="s">
        <v>563</v>
      </c>
      <c r="B92" s="50" t="s">
        <v>564</v>
      </c>
      <c r="C92" s="50" t="s">
        <v>565</v>
      </c>
      <c r="D92" s="50" t="s">
        <v>58</v>
      </c>
      <c r="E92" s="50" t="s">
        <v>27</v>
      </c>
      <c r="F92" s="50" t="s">
        <v>27</v>
      </c>
      <c r="G92" s="50" t="s">
        <v>30</v>
      </c>
      <c r="H92" s="50" t="s">
        <v>27</v>
      </c>
      <c r="I92" s="50" t="str">
        <f>VLOOKUP(Tabla55[[#This Row],[ID_CASO]],Tabla1[[ID_CASO]:[Automatizable]],17,FALSE)</f>
        <v>NO</v>
      </c>
      <c r="J92" s="51" t="s">
        <v>964</v>
      </c>
    </row>
    <row r="93" spans="1:10" ht="105" x14ac:dyDescent="0.25">
      <c r="A93" s="50" t="s">
        <v>572</v>
      </c>
      <c r="B93" s="50" t="s">
        <v>564</v>
      </c>
      <c r="C93" s="50" t="s">
        <v>573</v>
      </c>
      <c r="D93" s="50" t="s">
        <v>27</v>
      </c>
      <c r="E93" s="50" t="s">
        <v>27</v>
      </c>
      <c r="F93" s="50" t="s">
        <v>27</v>
      </c>
      <c r="G93" s="50" t="s">
        <v>30</v>
      </c>
      <c r="H93" s="50" t="s">
        <v>27</v>
      </c>
      <c r="I93" s="50" t="str">
        <f>VLOOKUP(Tabla55[[#This Row],[ID_CASO]],Tabla1[[ID_CASO]:[Automatizable]],17,FALSE)</f>
        <v>NO</v>
      </c>
      <c r="J93" s="51" t="s">
        <v>965</v>
      </c>
    </row>
    <row r="94" spans="1:10" ht="92.25" customHeight="1" x14ac:dyDescent="0.25">
      <c r="A94" s="56" t="s">
        <v>579</v>
      </c>
      <c r="B94" s="50" t="s">
        <v>580</v>
      </c>
      <c r="C94" s="50" t="s">
        <v>581</v>
      </c>
      <c r="D94" s="50" t="s">
        <v>27</v>
      </c>
      <c r="E94" s="50" t="s">
        <v>27</v>
      </c>
      <c r="F94" s="50" t="s">
        <v>27</v>
      </c>
      <c r="G94" s="50" t="s">
        <v>30</v>
      </c>
      <c r="H94" s="50" t="s">
        <v>27</v>
      </c>
      <c r="I94" s="50" t="str">
        <f>VLOOKUP(Tabla55[[#This Row],[ID_CASO]],Tabla1[[ID_CASO]:[Automatizable]],17,FALSE)</f>
        <v>Si</v>
      </c>
      <c r="J94" s="52" t="s">
        <v>935</v>
      </c>
    </row>
    <row r="95" spans="1:10" ht="84.75" customHeight="1" x14ac:dyDescent="0.25">
      <c r="A95" s="56" t="s">
        <v>587</v>
      </c>
      <c r="B95" s="50" t="s">
        <v>580</v>
      </c>
      <c r="C95" s="50" t="s">
        <v>588</v>
      </c>
      <c r="D95" s="50" t="s">
        <v>58</v>
      </c>
      <c r="E95" s="50" t="s">
        <v>27</v>
      </c>
      <c r="F95" s="50" t="s">
        <v>27</v>
      </c>
      <c r="G95" s="50" t="s">
        <v>30</v>
      </c>
      <c r="H95" s="50" t="s">
        <v>27</v>
      </c>
      <c r="I95" s="50" t="str">
        <f>VLOOKUP(Tabla55[[#This Row],[ID_CASO]],Tabla1[[ID_CASO]:[Automatizable]],17,FALSE)</f>
        <v>Si</v>
      </c>
      <c r="J95" s="52" t="s">
        <v>936</v>
      </c>
    </row>
    <row r="96" spans="1:10" ht="75.75" x14ac:dyDescent="0.25">
      <c r="A96" s="56" t="s">
        <v>594</v>
      </c>
      <c r="B96" s="50" t="s">
        <v>580</v>
      </c>
      <c r="C96" s="50" t="s">
        <v>595</v>
      </c>
      <c r="D96" s="50" t="s">
        <v>58</v>
      </c>
      <c r="E96" s="50" t="s">
        <v>27</v>
      </c>
      <c r="F96" s="50" t="s">
        <v>27</v>
      </c>
      <c r="G96" s="50" t="s">
        <v>30</v>
      </c>
      <c r="H96" s="50" t="s">
        <v>27</v>
      </c>
      <c r="I96" s="50" t="str">
        <f>VLOOKUP(Tabla55[[#This Row],[ID_CASO]],Tabla1[[ID_CASO]:[Automatizable]],17,FALSE)</f>
        <v>Si</v>
      </c>
      <c r="J96" s="52" t="s">
        <v>937</v>
      </c>
    </row>
    <row r="97" spans="1:10" s="53" customFormat="1" ht="94.5" customHeight="1" x14ac:dyDescent="0.25">
      <c r="A97" s="50" t="s">
        <v>609</v>
      </c>
      <c r="B97" s="50" t="s">
        <v>602</v>
      </c>
      <c r="C97" s="50" t="s">
        <v>610</v>
      </c>
      <c r="D97" s="57" t="s">
        <v>27</v>
      </c>
      <c r="E97" s="57" t="s">
        <v>27</v>
      </c>
      <c r="F97" s="57" t="s">
        <v>27</v>
      </c>
      <c r="G97" s="50" t="s">
        <v>30</v>
      </c>
      <c r="H97" s="57" t="s">
        <v>27</v>
      </c>
      <c r="I97" s="50" t="str">
        <f>VLOOKUP(Tabla55[[#This Row],[ID_CASO]],Tabla1[[ID_CASO]:[Automatizable]],17,FALSE)</f>
        <v>SI</v>
      </c>
      <c r="J97" s="51" t="s">
        <v>938</v>
      </c>
    </row>
    <row r="98" spans="1:10" s="53" customFormat="1" ht="42.75" x14ac:dyDescent="0.2">
      <c r="A98" s="50" t="s">
        <v>616</v>
      </c>
      <c r="B98" s="50" t="s">
        <v>602</v>
      </c>
      <c r="C98" s="50" t="s">
        <v>617</v>
      </c>
      <c r="D98" s="57" t="s">
        <v>58</v>
      </c>
      <c r="E98" s="57" t="s">
        <v>27</v>
      </c>
      <c r="F98" s="57" t="s">
        <v>27</v>
      </c>
      <c r="G98" s="50" t="s">
        <v>30</v>
      </c>
      <c r="H98" s="57" t="s">
        <v>27</v>
      </c>
      <c r="I98" s="50" t="str">
        <f>VLOOKUP(Tabla55[[#This Row],[ID_CASO]],Tabla1[[ID_CASO]:[Automatizable]],17,FALSE)</f>
        <v>SI</v>
      </c>
      <c r="J98" s="58" t="s">
        <v>939</v>
      </c>
    </row>
    <row r="99" spans="1:10" s="53" customFormat="1" ht="60" x14ac:dyDescent="0.2">
      <c r="A99" s="50" t="s">
        <v>623</v>
      </c>
      <c r="B99" s="50" t="s">
        <v>602</v>
      </c>
      <c r="C99" s="50" t="s">
        <v>624</v>
      </c>
      <c r="D99" s="59" t="s">
        <v>27</v>
      </c>
      <c r="E99" s="59" t="s">
        <v>58</v>
      </c>
      <c r="F99" s="59" t="s">
        <v>27</v>
      </c>
      <c r="G99" s="50" t="s">
        <v>30</v>
      </c>
      <c r="H99" s="59" t="s">
        <v>27</v>
      </c>
      <c r="I99" s="50" t="str">
        <f>VLOOKUP(Tabla55[[#This Row],[ID_CASO]],Tabla1[[ID_CASO]:[Automatizable]],17,FALSE)</f>
        <v>SI</v>
      </c>
      <c r="J99" s="60" t="s">
        <v>940</v>
      </c>
    </row>
    <row r="100" spans="1:10" s="53" customFormat="1" ht="60" x14ac:dyDescent="0.2">
      <c r="A100" s="50" t="s">
        <v>630</v>
      </c>
      <c r="B100" s="50" t="s">
        <v>602</v>
      </c>
      <c r="C100" s="50" t="s">
        <v>631</v>
      </c>
      <c r="D100" s="59" t="s">
        <v>58</v>
      </c>
      <c r="E100" s="59" t="s">
        <v>27</v>
      </c>
      <c r="F100" s="59" t="s">
        <v>27</v>
      </c>
      <c r="G100" s="50" t="s">
        <v>30</v>
      </c>
      <c r="H100" s="59" t="s">
        <v>27</v>
      </c>
      <c r="I100" s="50" t="str">
        <f>VLOOKUP(Tabla55[[#This Row],[ID_CASO]],Tabla1[[ID_CASO]:[Automatizable]],17,FALSE)</f>
        <v>SI</v>
      </c>
      <c r="J100" s="60" t="s">
        <v>941</v>
      </c>
    </row>
    <row r="101" spans="1:10" s="53" customFormat="1" ht="60" x14ac:dyDescent="0.2">
      <c r="A101" s="50" t="s">
        <v>636</v>
      </c>
      <c r="B101" s="50" t="s">
        <v>637</v>
      </c>
      <c r="C101" s="50" t="s">
        <v>638</v>
      </c>
      <c r="D101" s="59" t="s">
        <v>27</v>
      </c>
      <c r="E101" s="59" t="s">
        <v>27</v>
      </c>
      <c r="F101" s="59" t="s">
        <v>27</v>
      </c>
      <c r="G101" s="50" t="s">
        <v>30</v>
      </c>
      <c r="H101" s="59" t="s">
        <v>27</v>
      </c>
      <c r="I101" s="50" t="str">
        <f>VLOOKUP(Tabla55[[#This Row],[ID_CASO]],Tabla1[[ID_CASO]:[Automatizable]],17,FALSE)</f>
        <v>SI</v>
      </c>
      <c r="J101" s="60" t="s">
        <v>942</v>
      </c>
    </row>
    <row r="102" spans="1:10" s="53" customFormat="1" ht="45" x14ac:dyDescent="0.2">
      <c r="A102" s="50" t="s">
        <v>644</v>
      </c>
      <c r="B102" s="50" t="s">
        <v>637</v>
      </c>
      <c r="C102" s="50" t="s">
        <v>645</v>
      </c>
      <c r="D102" s="59" t="s">
        <v>58</v>
      </c>
      <c r="E102" s="59" t="s">
        <v>27</v>
      </c>
      <c r="F102" s="59" t="s">
        <v>27</v>
      </c>
      <c r="G102" s="50" t="s">
        <v>30</v>
      </c>
      <c r="H102" s="59" t="s">
        <v>27</v>
      </c>
      <c r="I102" s="50" t="str">
        <f>VLOOKUP(Tabla55[[#This Row],[ID_CASO]],Tabla1[[ID_CASO]:[Automatizable]],17,FALSE)</f>
        <v>SI</v>
      </c>
      <c r="J102" s="60" t="s">
        <v>943</v>
      </c>
    </row>
    <row r="103" spans="1:10" s="53" customFormat="1" ht="60" x14ac:dyDescent="0.2">
      <c r="A103" s="50" t="s">
        <v>651</v>
      </c>
      <c r="B103" s="50" t="s">
        <v>637</v>
      </c>
      <c r="C103" s="50" t="s">
        <v>652</v>
      </c>
      <c r="D103" s="59" t="s">
        <v>27</v>
      </c>
      <c r="E103" s="59" t="s">
        <v>27</v>
      </c>
      <c r="F103" s="59" t="s">
        <v>27</v>
      </c>
      <c r="G103" s="50" t="s">
        <v>30</v>
      </c>
      <c r="H103" s="59" t="s">
        <v>27</v>
      </c>
      <c r="I103" s="50" t="str">
        <f>VLOOKUP(Tabla55[[#This Row],[ID_CASO]],Tabla1[[ID_CASO]:[Automatizable]],17,FALSE)</f>
        <v>NO</v>
      </c>
      <c r="J103" s="60" t="s">
        <v>944</v>
      </c>
    </row>
    <row r="104" spans="1:10" s="53" customFormat="1" ht="45" x14ac:dyDescent="0.2">
      <c r="A104" s="50" t="s">
        <v>658</v>
      </c>
      <c r="B104" s="50" t="s">
        <v>637</v>
      </c>
      <c r="C104" s="50" t="s">
        <v>659</v>
      </c>
      <c r="D104" s="59" t="s">
        <v>58</v>
      </c>
      <c r="E104" s="59" t="s">
        <v>58</v>
      </c>
      <c r="F104" s="59" t="s">
        <v>27</v>
      </c>
      <c r="G104" s="50" t="s">
        <v>30</v>
      </c>
      <c r="H104" s="59" t="s">
        <v>27</v>
      </c>
      <c r="I104" s="50" t="str">
        <f>VLOOKUP(Tabla55[[#This Row],[ID_CASO]],Tabla1[[ID_CASO]:[Automatizable]],17,FALSE)</f>
        <v>SI</v>
      </c>
      <c r="J104" s="60" t="s">
        <v>945</v>
      </c>
    </row>
    <row r="105" spans="1:10" s="53" customFormat="1" ht="60" x14ac:dyDescent="0.2">
      <c r="A105" s="50" t="s">
        <v>665</v>
      </c>
      <c r="B105" s="50" t="s">
        <v>637</v>
      </c>
      <c r="C105" s="50" t="s">
        <v>645</v>
      </c>
      <c r="D105" s="59" t="s">
        <v>58</v>
      </c>
      <c r="E105" s="59" t="s">
        <v>27</v>
      </c>
      <c r="F105" s="59" t="s">
        <v>27</v>
      </c>
      <c r="G105" s="50" t="s">
        <v>30</v>
      </c>
      <c r="H105" s="59" t="s">
        <v>27</v>
      </c>
      <c r="I105" s="50" t="str">
        <f>VLOOKUP(Tabla55[[#This Row],[ID_CASO]],Tabla1[[ID_CASO]:[Automatizable]],17,FALSE)</f>
        <v>SI</v>
      </c>
      <c r="J105" s="60" t="s">
        <v>946</v>
      </c>
    </row>
    <row r="106" spans="1:10" s="53" customFormat="1" ht="45" x14ac:dyDescent="0.2">
      <c r="A106" s="50" t="s">
        <v>669</v>
      </c>
      <c r="B106" s="50" t="s">
        <v>637</v>
      </c>
      <c r="C106" s="50" t="s">
        <v>670</v>
      </c>
      <c r="D106" s="59" t="s">
        <v>27</v>
      </c>
      <c r="E106" s="59" t="s">
        <v>27</v>
      </c>
      <c r="F106" s="59" t="s">
        <v>27</v>
      </c>
      <c r="G106" s="50" t="s">
        <v>30</v>
      </c>
      <c r="H106" s="59" t="s">
        <v>27</v>
      </c>
      <c r="I106" s="50" t="str">
        <f>VLOOKUP(Tabla55[[#This Row],[ID_CASO]],Tabla1[[ID_CASO]:[Automatizable]],17,FALSE)</f>
        <v>NO</v>
      </c>
      <c r="J106" s="60" t="s">
        <v>947</v>
      </c>
    </row>
    <row r="107" spans="1:10" s="53" customFormat="1" ht="45" x14ac:dyDescent="0.2">
      <c r="A107" s="50" t="s">
        <v>675</v>
      </c>
      <c r="B107" s="50" t="s">
        <v>637</v>
      </c>
      <c r="C107" s="50" t="s">
        <v>676</v>
      </c>
      <c r="D107" s="59" t="s">
        <v>58</v>
      </c>
      <c r="E107" s="59" t="s">
        <v>27</v>
      </c>
      <c r="F107" s="59" t="s">
        <v>27</v>
      </c>
      <c r="G107" s="50" t="s">
        <v>30</v>
      </c>
      <c r="H107" s="59" t="s">
        <v>27</v>
      </c>
      <c r="I107" s="50" t="str">
        <f>VLOOKUP(Tabla55[[#This Row],[ID_CASO]],Tabla1[[ID_CASO]:[Automatizable]],17,FALSE)</f>
        <v>NO</v>
      </c>
      <c r="J107" s="60" t="s">
        <v>948</v>
      </c>
    </row>
    <row r="108" spans="1:10" s="53" customFormat="1" ht="75" x14ac:dyDescent="0.2">
      <c r="A108" s="50" t="s">
        <v>682</v>
      </c>
      <c r="B108" s="50" t="s">
        <v>336</v>
      </c>
      <c r="C108" s="50" t="s">
        <v>683</v>
      </c>
      <c r="D108" s="59" t="s">
        <v>27</v>
      </c>
      <c r="E108" s="59" t="s">
        <v>27</v>
      </c>
      <c r="F108" s="59" t="s">
        <v>27</v>
      </c>
      <c r="G108" s="50" t="s">
        <v>30</v>
      </c>
      <c r="H108" s="59" t="s">
        <v>27</v>
      </c>
      <c r="I108" s="50" t="str">
        <f>VLOOKUP(Tabla55[[#This Row],[ID_CASO]],Tabla1[[ID_CASO]:[Automatizable]],17,FALSE)</f>
        <v>NO</v>
      </c>
      <c r="J108" s="60" t="s">
        <v>949</v>
      </c>
    </row>
    <row r="109" spans="1:10" s="53" customFormat="1" ht="60" x14ac:dyDescent="0.2">
      <c r="A109" s="50" t="s">
        <v>690</v>
      </c>
      <c r="B109" s="50" t="s">
        <v>336</v>
      </c>
      <c r="C109" s="50" t="s">
        <v>691</v>
      </c>
      <c r="D109" s="59" t="s">
        <v>27</v>
      </c>
      <c r="E109" s="59" t="s">
        <v>27</v>
      </c>
      <c r="F109" s="59" t="s">
        <v>27</v>
      </c>
      <c r="G109" s="50" t="s">
        <v>30</v>
      </c>
      <c r="H109" s="59" t="s">
        <v>27</v>
      </c>
      <c r="I109" s="50" t="str">
        <f>VLOOKUP(Tabla55[[#This Row],[ID_CASO]],Tabla1[[ID_CASO]:[Automatizable]],17,FALSE)</f>
        <v>SI</v>
      </c>
      <c r="J109" s="60" t="s">
        <v>950</v>
      </c>
    </row>
    <row r="110" spans="1:10" s="53" customFormat="1" ht="75" x14ac:dyDescent="0.2">
      <c r="A110" s="50" t="s">
        <v>697</v>
      </c>
      <c r="B110" s="50" t="s">
        <v>336</v>
      </c>
      <c r="C110" s="50" t="s">
        <v>698</v>
      </c>
      <c r="D110" s="59" t="s">
        <v>27</v>
      </c>
      <c r="E110" s="59" t="s">
        <v>27</v>
      </c>
      <c r="F110" s="59" t="s">
        <v>27</v>
      </c>
      <c r="G110" s="50" t="s">
        <v>30</v>
      </c>
      <c r="H110" s="59" t="s">
        <v>27</v>
      </c>
      <c r="I110" s="50" t="str">
        <f>VLOOKUP(Tabla55[[#This Row],[ID_CASO]],Tabla1[[ID_CASO]:[Automatizable]],17,FALSE)</f>
        <v>SI</v>
      </c>
      <c r="J110" s="60" t="s">
        <v>951</v>
      </c>
    </row>
    <row r="111" spans="1:10" s="53" customFormat="1" ht="90" x14ac:dyDescent="0.2">
      <c r="A111" s="50" t="s">
        <v>703</v>
      </c>
      <c r="B111" s="50" t="s">
        <v>336</v>
      </c>
      <c r="C111" s="50" t="s">
        <v>704</v>
      </c>
      <c r="D111" s="59" t="s">
        <v>58</v>
      </c>
      <c r="E111" s="59" t="s">
        <v>27</v>
      </c>
      <c r="F111" s="59" t="s">
        <v>58</v>
      </c>
      <c r="G111" s="59" t="s">
        <v>749</v>
      </c>
      <c r="H111" s="59" t="s">
        <v>58</v>
      </c>
      <c r="I111" s="50" t="str">
        <f>VLOOKUP(Tabla55[[#This Row],[ID_CASO]],Tabla1[[ID_CASO]:[Automatizable]],17,FALSE)</f>
        <v>SI</v>
      </c>
      <c r="J111" s="60" t="s">
        <v>952</v>
      </c>
    </row>
    <row r="112" spans="1:10" s="53" customFormat="1" ht="60" x14ac:dyDescent="0.2">
      <c r="A112" s="50" t="s">
        <v>710</v>
      </c>
      <c r="B112" s="50" t="s">
        <v>336</v>
      </c>
      <c r="C112" s="50" t="s">
        <v>711</v>
      </c>
      <c r="D112" s="59" t="s">
        <v>58</v>
      </c>
      <c r="E112" s="59" t="s">
        <v>27</v>
      </c>
      <c r="F112" s="59" t="s">
        <v>27</v>
      </c>
      <c r="G112" s="50" t="s">
        <v>30</v>
      </c>
      <c r="H112" s="59" t="s">
        <v>27</v>
      </c>
      <c r="I112" s="50" t="str">
        <f>VLOOKUP(Tabla55[[#This Row],[ID_CASO]],Tabla1[[ID_CASO]:[Automatizable]],17,FALSE)</f>
        <v>SI</v>
      </c>
      <c r="J112" s="60" t="s">
        <v>953</v>
      </c>
    </row>
    <row r="113" spans="1:10" s="53" customFormat="1" ht="75" x14ac:dyDescent="0.2">
      <c r="A113" s="50" t="s">
        <v>717</v>
      </c>
      <c r="B113" s="50" t="s">
        <v>336</v>
      </c>
      <c r="C113" s="50" t="s">
        <v>954</v>
      </c>
      <c r="D113" s="59" t="s">
        <v>58</v>
      </c>
      <c r="E113" s="59" t="s">
        <v>27</v>
      </c>
      <c r="F113" s="59" t="s">
        <v>27</v>
      </c>
      <c r="G113" s="50" t="s">
        <v>30</v>
      </c>
      <c r="H113" s="59" t="s">
        <v>27</v>
      </c>
      <c r="I113" s="50" t="str">
        <f>VLOOKUP(Tabla55[[#This Row],[ID_CASO]],Tabla1[[ID_CASO]:[Automatizable]],17,FALSE)</f>
        <v>SI</v>
      </c>
      <c r="J113" s="60" t="s">
        <v>955</v>
      </c>
    </row>
    <row r="114" spans="1:10" s="53" customFormat="1" ht="60" x14ac:dyDescent="0.2">
      <c r="A114" s="50" t="s">
        <v>723</v>
      </c>
      <c r="B114" s="50" t="s">
        <v>336</v>
      </c>
      <c r="C114" s="50" t="s">
        <v>724</v>
      </c>
      <c r="D114" s="59" t="s">
        <v>27</v>
      </c>
      <c r="E114" s="59" t="s">
        <v>27</v>
      </c>
      <c r="F114" s="59" t="s">
        <v>27</v>
      </c>
      <c r="G114" s="50" t="s">
        <v>30</v>
      </c>
      <c r="H114" s="59" t="s">
        <v>27</v>
      </c>
      <c r="I114" s="50" t="str">
        <f>VLOOKUP(Tabla55[[#This Row],[ID_CASO]],Tabla1[[ID_CASO]:[Automatizable]],17,FALSE)</f>
        <v>SI</v>
      </c>
      <c r="J114" s="60" t="s">
        <v>956</v>
      </c>
    </row>
    <row r="115" spans="1:10" s="53" customFormat="1" ht="60" x14ac:dyDescent="0.2">
      <c r="A115" s="50" t="s">
        <v>730</v>
      </c>
      <c r="B115" s="50" t="s">
        <v>336</v>
      </c>
      <c r="C115" s="50" t="s">
        <v>731</v>
      </c>
      <c r="D115" s="59" t="s">
        <v>27</v>
      </c>
      <c r="E115" s="59" t="s">
        <v>27</v>
      </c>
      <c r="F115" s="59" t="s">
        <v>27</v>
      </c>
      <c r="G115" s="50" t="s">
        <v>30</v>
      </c>
      <c r="H115" s="59" t="s">
        <v>27</v>
      </c>
      <c r="I115" s="50" t="str">
        <f>VLOOKUP(Tabla55[[#This Row],[ID_CASO]],Tabla1[[ID_CASO]:[Automatizable]],17,FALSE)</f>
        <v>SI</v>
      </c>
      <c r="J115" s="60" t="s">
        <v>957</v>
      </c>
    </row>
    <row r="116" spans="1:10" s="53" customFormat="1" ht="30" x14ac:dyDescent="0.2">
      <c r="A116" s="50" t="s">
        <v>737</v>
      </c>
      <c r="B116" s="50" t="s">
        <v>336</v>
      </c>
      <c r="C116" s="50" t="s">
        <v>738</v>
      </c>
      <c r="D116" s="59" t="s">
        <v>27</v>
      </c>
      <c r="E116" s="59" t="s">
        <v>27</v>
      </c>
      <c r="F116" s="59" t="s">
        <v>27</v>
      </c>
      <c r="G116" s="50" t="s">
        <v>30</v>
      </c>
      <c r="H116" s="59" t="s">
        <v>27</v>
      </c>
      <c r="I116" s="50" t="str">
        <f>VLOOKUP(Tabla55[[#This Row],[ID_CASO]],Tabla1[[ID_CASO]:[Automatizable]],17,FALSE)</f>
        <v>NO</v>
      </c>
      <c r="J116" s="60" t="s">
        <v>966</v>
      </c>
    </row>
    <row r="117" spans="1:10" s="53" customFormat="1" ht="30" x14ac:dyDescent="0.2">
      <c r="A117" s="50" t="s">
        <v>743</v>
      </c>
      <c r="B117" s="50" t="s">
        <v>336</v>
      </c>
      <c r="C117" s="50" t="s">
        <v>744</v>
      </c>
      <c r="D117" s="59" t="s">
        <v>58</v>
      </c>
      <c r="E117" s="59" t="s">
        <v>27</v>
      </c>
      <c r="F117" s="59" t="s">
        <v>58</v>
      </c>
      <c r="G117" s="59" t="s">
        <v>749</v>
      </c>
      <c r="H117" s="59" t="s">
        <v>58</v>
      </c>
      <c r="I117" s="50" t="str">
        <f>VLOOKUP(Tabla55[[#This Row],[ID_CASO]],Tabla1[[ID_CASO]:[Automatizable]],17,FALSE)</f>
        <v>NO</v>
      </c>
      <c r="J117" s="60" t="s">
        <v>966</v>
      </c>
    </row>
    <row r="118" spans="1:10" ht="60.75" x14ac:dyDescent="0.25">
      <c r="A118" s="55" t="s">
        <v>750</v>
      </c>
      <c r="B118" s="55" t="s">
        <v>751</v>
      </c>
      <c r="C118" s="55" t="s">
        <v>958</v>
      </c>
      <c r="D118" s="55" t="s">
        <v>765</v>
      </c>
      <c r="E118" s="55" t="s">
        <v>58</v>
      </c>
      <c r="F118" s="55" t="s">
        <v>58</v>
      </c>
      <c r="G118" s="55" t="s">
        <v>749</v>
      </c>
      <c r="H118" s="55" t="s">
        <v>765</v>
      </c>
      <c r="I118" s="50" t="str">
        <f>VLOOKUP(Tabla55[[#This Row],[ID_CASO]],Tabla1[[ID_CASO]:[Automatizable]],17,FALSE)</f>
        <v>NO</v>
      </c>
      <c r="J118" s="52" t="s">
        <v>959</v>
      </c>
    </row>
    <row r="119" spans="1:10" ht="75.75" x14ac:dyDescent="0.25">
      <c r="A119" s="55" t="s">
        <v>759</v>
      </c>
      <c r="B119" s="55" t="s">
        <v>751</v>
      </c>
      <c r="C119" s="55" t="s">
        <v>760</v>
      </c>
      <c r="D119" s="55" t="s">
        <v>765</v>
      </c>
      <c r="E119" s="55" t="s">
        <v>58</v>
      </c>
      <c r="F119" s="55" t="s">
        <v>58</v>
      </c>
      <c r="G119" s="55" t="s">
        <v>749</v>
      </c>
      <c r="H119" s="55" t="s">
        <v>765</v>
      </c>
      <c r="I119" s="50" t="str">
        <f>VLOOKUP(Tabla55[[#This Row],[ID_CASO]],Tabla1[[ID_CASO]:[Automatizable]],17,FALSE)</f>
        <v>NO</v>
      </c>
      <c r="J119" s="52" t="s">
        <v>960</v>
      </c>
    </row>
  </sheetData>
  <dataValidations count="2">
    <dataValidation type="list" allowBlank="1" showInputMessage="1" showErrorMessage="1" sqref="G118:G119 G15:G110 G112:G116 I15:I119" xr:uid="{68858CE3-921D-4C84-9883-BCB35D1B8A48}">
      <formula1>$L$20:$L$21</formula1>
    </dataValidation>
    <dataValidation type="list" allowBlank="1" showInputMessage="1" showErrorMessage="1" sqref="H118:H119 D118:F119 D15:F96 H15:H96" xr:uid="{89530FB0-CE3B-4AC2-9097-3DA89377DEA5}">
      <formula1>$L$15:$L$17</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Hoja1</vt:lpstr>
      <vt:lpstr>Hoja3</vt:lpstr>
      <vt:lpstr>Hoja4</vt:lpstr>
      <vt:lpstr>Hoja6</vt:lpstr>
      <vt:lpstr>Hoja7</vt:lpstr>
      <vt:lpstr>Hoja2</vt:lpstr>
      <vt:lpstr>Hoja5</vt:lpstr>
      <vt:lpstr>Hoja8</vt:lpstr>
      <vt:lpstr>MATRIZ DE CASOS DE PRUEBA</vt:lpstr>
      <vt:lpstr>MATRIZ CASOS AUTOMATIZAR</vt:lpstr>
      <vt:lpstr>MATRIZ_PRUEBAS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Sermeno</dc:creator>
  <cp:lastModifiedBy>Ronald Sermeno</cp:lastModifiedBy>
  <dcterms:created xsi:type="dcterms:W3CDTF">2025-11-22T21:23:55Z</dcterms:created>
  <dcterms:modified xsi:type="dcterms:W3CDTF">2025-12-06T03:34:52Z</dcterms:modified>
</cp:coreProperties>
</file>